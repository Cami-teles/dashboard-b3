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S (New Seg)" sheetId="1" r:id="rId5"/>
  </sheets>
  <definedNames>
    <definedName name="Options_and_Warrants_7_2">#REF!</definedName>
    <definedName name="desc">#REF!</definedName>
    <definedName name="_bdm.E8C70D4BD602445E9AEE5B94D44DABC0.edm">#REF!</definedName>
    <definedName name="BLPH27">#REF!</definedName>
    <definedName name="prolinks_6e7c7c8bec8d4ccf90ccb93300af5f43">#REF!</definedName>
    <definedName name="BLPR11320040303143550037_1_1">#REF!</definedName>
    <definedName localSheetId="0" name="LineNB">#REF!</definedName>
    <definedName name="_DCF7">#REF!</definedName>
    <definedName name="CASESUM6">#REF!</definedName>
    <definedName name="B2K_VIEW1">#REF!</definedName>
    <definedName name="BLPR20120040303143551999_1_1">#REF!</definedName>
    <definedName name="BLPH116">#REF!</definedName>
    <definedName name="_3__123Graph_ACHART_1">#REF!</definedName>
    <definedName name="BLPR1620040303143540813">#REF!</definedName>
    <definedName name="BLPR6020040303143548074">#REF!</definedName>
    <definedName localSheetId="0" name="Icms_Venda">#REF!</definedName>
    <definedName localSheetId="0" name="MODULE1">#REF!</definedName>
    <definedName name="aaaaaaaaaaaaaaaaaaaaaaaaaaaaaaaaaaaaaaaaaaaaaaaaa">#REF!</definedName>
    <definedName name="_bdm.210D3FCA8AF64D7D9765A0D409797F03.edm">#REF!</definedName>
    <definedName name="CZ">#REF!</definedName>
    <definedName name="BLPR20620040303143552009">#REF!</definedName>
    <definedName name="IpcaAcumAno9">#REF!</definedName>
    <definedName name="FDP_19_1_aDrv">#REF!</definedName>
    <definedName localSheetId="0" name="CONFORE">#REF!</definedName>
    <definedName name="RedC_19">#REF!</definedName>
    <definedName name="__row2">#REF!</definedName>
    <definedName name="Debt_19_3">#REF!</definedName>
    <definedName name="jun">#REF!</definedName>
    <definedName name="p_ConvDebt">#REF!</definedName>
    <definedName name="Straight_Preferred_2_3">#REF!</definedName>
    <definedName name="teste3">#REF!</definedName>
    <definedName name="BLPR3720040303143540863_1_3">#REF!</definedName>
    <definedName localSheetId="0" name="_EPS01">#REF!</definedName>
    <definedName name="postal2">#REF!</definedName>
    <definedName name="_bdm.93743DA9D76B4839BC99B45C9DE61DDD.edm">#REF!</definedName>
    <definedName localSheetId="0" name="Page_1">#REF!</definedName>
    <definedName name="MULT982c40">#REF!</definedName>
    <definedName name="BLPR2920040303143540843_1_3">#REF!</definedName>
    <definedName name="Mapping_Coverage">#REF!</definedName>
    <definedName name="achart30">#REF!</definedName>
    <definedName name="PostTaxNom">#REF!</definedName>
    <definedName name="______SUB4">#REF!</definedName>
    <definedName name="BSMinorities">#REF!</definedName>
    <definedName localSheetId="0" name="Other_Financial_Assets">#REF!</definedName>
    <definedName localSheetId="0" name="Cwvu.GREY_ALL.">#REF!</definedName>
    <definedName name="LionMDY">#REF!</definedName>
    <definedName name="__123Graph_X需要曲線">#REF!</definedName>
    <definedName localSheetId="0" name="DEPREC.ACUM">#REF!</definedName>
    <definedName name="BeginDate">#REF!</definedName>
    <definedName name="profit">#REF!</definedName>
    <definedName name="Debt_4_3">#REF!</definedName>
    <definedName name="__lb16">#REF!</definedName>
    <definedName localSheetId="0" name="mgmt_end_cash">#REF!</definedName>
    <definedName name="StartBACS">#REF!</definedName>
    <definedName name="Options_and_Warrants_4_1">#REF!</definedName>
    <definedName name="_bdm.81EDEE3AEC6A4D58A7B2D6F5307B3172.edm">#REF!</definedName>
    <definedName name="Mes_Base">#REF!</definedName>
    <definedName name="_6__123Graph_BGROSS_MARGINS">#REF!</definedName>
    <definedName name="Q1_86">#REF!</definedName>
    <definedName localSheetId="0" name="next_qtr_rev">#REF!</definedName>
    <definedName name="DolMedio2007">#REF!</definedName>
    <definedName name="LAMBWC">#REF!</definedName>
    <definedName name="Min_Utilities">#REF!</definedName>
    <definedName name="FDP_122_1_aUrv">#REF!</definedName>
    <definedName name="Hourly_Customer_Service_Rate_OUT">#REF!</definedName>
    <definedName name="_hys1">#REF!</definedName>
    <definedName name="FDP_80_1_aUrv">#REF!</definedName>
    <definedName name="Selic9">#REF!</definedName>
    <definedName name="_79__123Graph_ECHART_16">#REF!</definedName>
    <definedName name="DIA">#REF!</definedName>
    <definedName name="_x29">#REF!</definedName>
    <definedName name="SO">#REF!</definedName>
    <definedName name="BLPR3920040303143540863_2_3">#REF!</definedName>
    <definedName name="prolinks_4ae2f4223e7642cf82e23cee656813ea">#REF!</definedName>
    <definedName name="priceList070103only">#REF!</definedName>
    <definedName localSheetId="0" name="RAD">#REF!</definedName>
    <definedName name="hold_period">#REF!</definedName>
    <definedName localSheetId="0" name="Intro1">#REF!</definedName>
    <definedName name="_bdm.67CD53BBC8404627BACF4CB8A01DD180.edm">#REF!</definedName>
    <definedName name="JANSP">#REF!</definedName>
    <definedName name="__x24">#REF!</definedName>
    <definedName name="_____LBO1">#REF!</definedName>
    <definedName localSheetId="0" name="qqqqq">#REF!</definedName>
    <definedName name="MVE_NI">#REF!</definedName>
    <definedName name="bchart11">#REF!</definedName>
    <definedName name="_20_Jul_94">#REF!</definedName>
    <definedName name="WIZARD_Y1Q4R">#REF!</definedName>
    <definedName name="Key">#REF!</definedName>
    <definedName name="SW_CAD">#REF!</definedName>
    <definedName name="Debt_18_1">#REF!</definedName>
    <definedName name="LionBDADROpinionDate">#REF!</definedName>
    <definedName name="TRAUMA_BUY">#REF!</definedName>
    <definedName name="CF_Non_Cash_Straight_PDividend">#REF!</definedName>
    <definedName name="Q1_92">#REF!</definedName>
    <definedName name="BLPR8120040303143549987_1_1">#REF!</definedName>
    <definedName name="_s6">#REF!</definedName>
    <definedName name="Other">#REF!</definedName>
    <definedName name="LionKDNetDivQ1">#REF!</definedName>
    <definedName name="DEF_DEM_INV">#REF!</definedName>
    <definedName localSheetId="0" name="FreqName">#REF!</definedName>
    <definedName localSheetId="0" name="except">#REF!</definedName>
    <definedName name="cashofferprice">#REF!</definedName>
    <definedName name="DOMINC">#REF!</definedName>
    <definedName name="LBOSaleExit1">#REF!</definedName>
    <definedName name="_bdm.5CD7225B601A40CA925B243EF403C2A9.edm">#REF!</definedName>
    <definedName localSheetId="0" name="PERP">#REF!</definedName>
    <definedName name="Q2_94">#REF!</definedName>
    <definedName name="LionBDPERelHomeMktTitle">#REF!</definedName>
    <definedName name="Base_Year">#REF!</definedName>
    <definedName name="Convertible_Preferred_5_4">#REF!</definedName>
    <definedName name="OLEChartName">#REF!</definedName>
    <definedName name="__lb11">#REF!</definedName>
    <definedName name="prolinks_2e05f5cf545548dd9e5e8c1ae471e7ee">#REF!</definedName>
    <definedName name="IVES_PRICE">#REF!</definedName>
    <definedName localSheetId="0" name="IPRIME">#REF!</definedName>
    <definedName localSheetId="0" name="SENSITIVITY">#REF!</definedName>
    <definedName name="TbTipoMoeda">#REF!</definedName>
    <definedName name="COR_Allocation_Detail">#REF!</definedName>
    <definedName name="DimCentroDeLucro">#REF!</definedName>
    <definedName name="BLPR14320040303143550077">#REF!</definedName>
    <definedName localSheetId="0" name="rFYE">#REF!</definedName>
    <definedName name="Debt_19_5">#REF!</definedName>
    <definedName name="QUANT">#REF!</definedName>
    <definedName name="Q1_87">#REF!</definedName>
    <definedName name="HMR_Percent_of_Sales">#REF!</definedName>
    <definedName name="_123G_E">#REF!</definedName>
    <definedName name="Capex_20">#REF!</definedName>
    <definedName name="Origination_Volume">#REF!</definedName>
    <definedName localSheetId="0" name="PREM1">#REF!</definedName>
    <definedName name="Price_Desktop2018">#REF!</definedName>
    <definedName name="BLPR6620040303143548134">#REF!</definedName>
    <definedName name="Rate_Table">#REF!</definedName>
    <definedName localSheetId="0" name="OPINFORE">#REF!</definedName>
    <definedName name="_bdm.FCD0B20EC2A245B4A1DC5EFEBBF95E25.edm">#REF!</definedName>
    <definedName localSheetId="0" name="_Key2">#REF!</definedName>
    <definedName name="moneyprice">#REF!</definedName>
    <definedName name="BLPR21120040303143552009_1_1">#REF!</definedName>
    <definedName localSheetId="0" name="BaseYear">#REF!</definedName>
    <definedName name="Base_ILP">#REF!</definedName>
    <definedName name="ACwvu.Page4.">#REF!</definedName>
    <definedName localSheetId="0" name="REALIZAVEL">#REF!</definedName>
    <definedName name="rDebtRate">#REF!</definedName>
    <definedName name="BLPR18120040303143550637_2_2">#REF!</definedName>
    <definedName localSheetId="0" name="MENSAL2">#REF!</definedName>
    <definedName name="MtoC_Stops_per_Shift">#REF!</definedName>
    <definedName name="rEPSLTG">#REF!</definedName>
    <definedName name="Options_and_Warrants_1_3">#REF!</definedName>
    <definedName name="Print_Area_MI">#REF!</definedName>
    <definedName name="prolinks_57e79b17cf4e42f5b5ceec613655d342">#REF!</definedName>
    <definedName localSheetId="0" name="CXPRICE">#REF!</definedName>
    <definedName name="prolinks_db2aca4b3e56411a8f7bbdd0251c8200">#REF!</definedName>
    <definedName name="FDP_59_1_aUrv">#REF!</definedName>
    <definedName name="Base_Provisões">#REF!</definedName>
    <definedName name="__lb29">#REF!</definedName>
    <definedName name="Icms_Venda">#REF!</definedName>
    <definedName name="_bdm.EB3B7303CA6B45F5A71299C964BC0DBF.edm">#REF!</definedName>
    <definedName name="BLPR2620040303143540833_1_3">#REF!</definedName>
    <definedName name="bchart14">#REF!</definedName>
    <definedName name="Headcount_Growth_Lancamentos">#REF!</definedName>
    <definedName name="BLPR21320040303143552009">#REF!</definedName>
    <definedName localSheetId="0" name="OctOff">#REF!</definedName>
    <definedName name="_bdm.DA7C0BD262C3446A90561F93D49FBA23.edm">#REF!</definedName>
    <definedName name="priceList070203fwd">#REF!</definedName>
    <definedName name="new_1">#REF!</definedName>
    <definedName name="BLPR11120040303143550037">#REF!</definedName>
    <definedName name="_bdm.CD42979E95C9409697059C59BD1A0E53.edm">#REF!</definedName>
    <definedName name="_____FCF3">#REF!</definedName>
    <definedName name="FDP_7_1_aUrv">#REF!</definedName>
    <definedName localSheetId="0" name="PreferredHide">#REF!</definedName>
    <definedName name="q4_99">#REF!</definedName>
    <definedName name="Prioridade">#REF!</definedName>
    <definedName name="_____EPS04">#REF!</definedName>
    <definedName name="prolinks_07ac5f0014eb4cca8e4d0a5eadeca32c">#REF!</definedName>
    <definedName name="_90__123Graph_FCHART_12">#REF!</definedName>
    <definedName name="BLPR10120040303143550017_1_1">#REF!</definedName>
    <definedName name="_bdm.EA993DD87A6C4E609D12CBD270F88067.edm">#REF!</definedName>
    <definedName name="BLPR21520040303143552080_2_2">#REF!</definedName>
    <definedName name="Associates">#REF!</definedName>
    <definedName name="_bdm.BC2BD283395947509145056EB610A765.edm">#REF!</definedName>
    <definedName name="Ordshares">#REF!</definedName>
    <definedName name="_bdm.2090467EFE2043A59995B4907F801254.edm">#REF!</definedName>
    <definedName name="cchart5">#REF!</definedName>
    <definedName localSheetId="0" name="INSTALL">#REF!</definedName>
    <definedName name="BLPR17420040303143550507_2_2">#REF!</definedName>
    <definedName name="Selic12">#REF!</definedName>
    <definedName name="BLPR1620040303143540813_2_3">#REF!</definedName>
    <definedName name="FCBP">#REF!</definedName>
    <definedName name="_bdm.EB68B52410DB4DEBB995B08DDFDF03AB.edm">#REF!</definedName>
    <definedName name="__lbc20">#REF!</definedName>
    <definedName name="PROBS">#REF!</definedName>
    <definedName name="Q4_92">#REF!</definedName>
    <definedName localSheetId="0" name="_REV03">#REF!</definedName>
    <definedName name="BLPR5820040303143548064">#REF!</definedName>
    <definedName name="CliTotRev">#REF!</definedName>
    <definedName name="Test01">#REF!</definedName>
    <definedName name="Q4_86">#REF!</definedName>
    <definedName name="N_1">#REF!</definedName>
    <definedName name="LFT_PercentualSaldo">#REF!</definedName>
    <definedName name="upper_left1">#REF!</definedName>
    <definedName name="Acq05NetInc4">#REF!</definedName>
    <definedName name="__ANO82">#REF!</definedName>
    <definedName name="ratios">#REF!</definedName>
    <definedName localSheetId="0" name="Processing">#REF!</definedName>
    <definedName name="___rev4">#REF!</definedName>
    <definedName name="BLPH121">#REF!</definedName>
    <definedName name="_ANO74">#REF!</definedName>
    <definedName name="VolumeCell">#REF!</definedName>
    <definedName localSheetId="0" name="FinancialsPrint">#REF!</definedName>
    <definedName name="BLPR8220040303143549987">#REF!</definedName>
    <definedName name="Option_Proceeds">#REF!</definedName>
    <definedName name="FDP_2_1_aUrv">#REF!</definedName>
    <definedName name="__123Graph_XANIDRO">#REF!</definedName>
    <definedName name="BLPR14020040303143550077">#REF!</definedName>
    <definedName name="BLPR2220040303143540833_3_3">#REF!</definedName>
    <definedName name="MAHREV">#REF!</definedName>
    <definedName name="WIZARD_Y3R">#REF!</definedName>
    <definedName localSheetId="0" name="Extraordinary_Expenses">#REF!</definedName>
    <definedName localSheetId="0" name="shares">#REF!</definedName>
    <definedName name="International_Tax_Assumptions">#REF!</definedName>
    <definedName name="WORKINGCAP">#REF!</definedName>
    <definedName name="_52__123Graph_CCHART_6">#REF!</definedName>
    <definedName name="Targ04NetInc4">#REF!</definedName>
    <definedName name="cogs">#REF!</definedName>
    <definedName name="CONVERSIONADJ">#REF!</definedName>
    <definedName name="_bdm.CAA7A150B38C444CA23997A73199497C.edm">#REF!</definedName>
    <definedName name="FDP_127_1_aUrv">#REF!</definedName>
    <definedName localSheetId="0" name="CentrosDeCustos">#REF!</definedName>
    <definedName name="PFTITANCASH">#REF!</definedName>
    <definedName name="__DCF4">#REF!</definedName>
    <definedName name="BLPH70">#REF!</definedName>
    <definedName name="Debt_19_4">#REF!</definedName>
    <definedName name="p_MandatoryDebt">#REF!</definedName>
    <definedName name="_SUB2">#REF!</definedName>
    <definedName name="ADV">#REF!</definedName>
    <definedName name="CAIXA">#REF!</definedName>
    <definedName localSheetId="0" name="MENSAL4">#REF!</definedName>
    <definedName name="BLPR6020040303143548074_1_1">#REF!</definedName>
    <definedName name="Comb.LS.Aplicação">#REF!</definedName>
    <definedName localSheetId="0" name="BLPH11">#REF!</definedName>
    <definedName name="EXDATE">#REF!</definedName>
    <definedName name="_bdm.31AF96CC90B748B59E5456F4981BC8B2.edm">#REF!</definedName>
    <definedName name="EXIGIVEL">#REF!</definedName>
    <definedName name="summary">#REF!</definedName>
    <definedName name="CASESTATS1">#REF!</definedName>
    <definedName name="sete">#REF!</definedName>
    <definedName name="_bdm.2CC1D9E9FC814F3E82BDEE2AF02AB2B5.edm">#REF!</definedName>
    <definedName name="BLPH164">#REF!</definedName>
    <definedName name="WIZARD_Y2CAPREVR">#REF!</definedName>
    <definedName name="BLPR7920040303143549987_1_1">#REF!</definedName>
    <definedName name="BLPR17220040303143550477">#REF!</definedName>
    <definedName name="BLPR3220040303143540853_1_3">#REF!</definedName>
    <definedName name="LAMBINC">#REF!</definedName>
    <definedName name="BLPR8820040303143549997_1_1">#REF!</definedName>
    <definedName name="p_CFS">#REF!</definedName>
    <definedName name="Cash6">#REF!</definedName>
    <definedName name="CTAS.PG.AFILIADAS">#REF!</definedName>
    <definedName name="_ANO82">#REF!</definedName>
    <definedName name="FDP_12_1_aDrv">#REF!</definedName>
    <definedName name="___rev1">#REF!</definedName>
    <definedName name="_10__123Graph_CGROWTH_REVS_B">#REF!</definedName>
    <definedName name="_47__123Graph_CCHART_16">#REF!</definedName>
    <definedName name="bchart2">#REF!</definedName>
    <definedName name="prolinks_2f4caf31066c4d0dbed7fdbe167cce26">#REF!</definedName>
    <definedName name="__lb8">#REF!</definedName>
    <definedName name="__lbc17">#REF!</definedName>
    <definedName name="BLPR6320040303143548074_1_1">#REF!</definedName>
    <definedName name="p_LBO_DebtA">#REF!</definedName>
    <definedName localSheetId="0" name="SM_Allocation_Detail">#REF!</definedName>
    <definedName name="Tangible_Assets">#REF!</definedName>
    <definedName name="primary">#REF!</definedName>
    <definedName name="Q3_91">#REF!</definedName>
    <definedName name="_113_0__123Graph_BCHAR">#REF!</definedName>
    <definedName name="Comb.CI.Resultado">#REF!</definedName>
    <definedName name="IgpmAcum5">#REF!</definedName>
    <definedName localSheetId="0" name="DiretoriaPresidência">#REF!</definedName>
    <definedName name="_lbc20">#REF!</definedName>
    <definedName name="s_3">#REF!</definedName>
    <definedName name="_lb3">#REF!</definedName>
    <definedName name="____SUB3">#REF!</definedName>
    <definedName name="BLPR5820040303143548064_1_1">#REF!</definedName>
    <definedName name="_SUB6">#REF!</definedName>
    <definedName localSheetId="0" name="valmatrix">#REF!</definedName>
    <definedName name="__FCF5">#REF!</definedName>
    <definedName name="Qtr_0Revs">#REF!</definedName>
    <definedName name="_lb18">#REF!</definedName>
    <definedName name="BLPH68">#REF!</definedName>
    <definedName name="leda">#REF!</definedName>
    <definedName name="Convertible_Debt_5_1">#REF!</definedName>
    <definedName name="ECHTADCR">#REF!</definedName>
    <definedName name="LionBDADRInvOpinion2">#REF!</definedName>
    <definedName name="__lbc25">#REF!</definedName>
    <definedName localSheetId="0" name="DAU">#REF!</definedName>
    <definedName name="ELPHEAD">#REF!</definedName>
    <definedName localSheetId="0" name="Shares_Issued_Debt">#REF!</definedName>
    <definedName name="_la7">#REF!</definedName>
    <definedName name="invoiceno">#REF!</definedName>
    <definedName name="BLPH26">#REF!</definedName>
    <definedName name="_lb5">#REF!</definedName>
    <definedName name="ACCDIL01d20">#REF!</definedName>
    <definedName name="HeaderSpot">#REF!</definedName>
    <definedName name="p_Amort">#REF!</definedName>
    <definedName name="CREV03">#REF!</definedName>
    <definedName name="FDP_156_1_aUrv">#REF!</definedName>
    <definedName name="_____QTR1">#REF!</definedName>
    <definedName localSheetId="0" name="Debt2">#REF!</definedName>
    <definedName name="BLPR2220040303143540833_2_3">#REF!</definedName>
    <definedName name="GALQD">#REF!</definedName>
    <definedName name="WRITEUPS">#REF!</definedName>
    <definedName name="STOCK">#REF!</definedName>
    <definedName name="BLPR21920040303143552180_2_2">#REF!</definedName>
    <definedName name="gmarg">#REF!</definedName>
    <definedName name="Minority_Dividends">#REF!</definedName>
    <definedName name="Targ06NetInc2">#REF!</definedName>
    <definedName name="__lbc21">#REF!</definedName>
    <definedName name="_FCF7">#REF!</definedName>
    <definedName name="page6">#REF!</definedName>
    <definedName name="prolinks_7896bc8a29204e2987c9a1ea5488ad41">#REF!</definedName>
    <definedName localSheetId="0" name="perServ_perMo">#REF!</definedName>
    <definedName name="_bdm.F1CD4634C577422BB05AEF6B4BA429A2.edm">#REF!</definedName>
    <definedName name="WIZARD_ROAE">#REF!</definedName>
    <definedName name="Targ04NetInc2">#REF!</definedName>
    <definedName name="ACUMVIN">#REF!</definedName>
    <definedName name="prolinks_b6add732007c4fc0a77d88df38d48de2">#REF!</definedName>
    <definedName name="BLPH179">#REF!</definedName>
    <definedName name="_bdm.CEF1386C1C9C4D95A00DFA7AEE01CB8B.edm">#REF!</definedName>
    <definedName name="BLPR5120040303143542095_2_3">#REF!</definedName>
    <definedName name="_ANO85">#REF!</definedName>
    <definedName name="PS">#REF!</definedName>
    <definedName name="_74__123Graph_ECHART_11">#REF!</definedName>
    <definedName name="_bdm.8B845DEDA4764240BB041D1DE3393E97.edm">#REF!</definedName>
    <definedName localSheetId="0" name="BUNDYBS">#REF!</definedName>
    <definedName name="ProcessosÁreas">#REF!</definedName>
    <definedName name="PATRIMONIO.LIQ">#REF!</definedName>
    <definedName localSheetId="0" name="rEPS2001Local">#REF!</definedName>
    <definedName localSheetId="0" name="Hourly_Customer_Service_Rate_LIC">#REF!</definedName>
    <definedName localSheetId="0" name="s">#REF!</definedName>
    <definedName name="BLPR120040303143540763">#REF!</definedName>
    <definedName name="WIZARD_Y3Q2R">#REF!</definedName>
    <definedName name="__x6">#REF!</definedName>
    <definedName name="lbla19">#REF!</definedName>
    <definedName name="January">#REF!</definedName>
    <definedName name="_s">#REF!</definedName>
    <definedName name="_bdm.46A6CE6EBDE7486CA65A07EF0C1E2DEE.edm">#REF!</definedName>
    <definedName name="STMATRIX13">#REF!</definedName>
    <definedName name="Debt_7_5">#REF!</definedName>
    <definedName name="IpcaAcumAno7">#REF!</definedName>
    <definedName localSheetId="0" name="cf">#REF!</definedName>
    <definedName name="__123Graph_BMARGINS">#REF!</definedName>
    <definedName name="___EPS04">#REF!</definedName>
    <definedName name="_lbc4">#REF!</definedName>
    <definedName name="AnnotateNote1">#REF!</definedName>
    <definedName name="Fluxo9">#REF!</definedName>
    <definedName name="Straight_Preferred_3_3">#REF!</definedName>
    <definedName name="_TSU96">#REF!</definedName>
    <definedName name="Net_Profit_after_Minorities">#REF!</definedName>
    <definedName name="__FAT1">#REF!</definedName>
    <definedName name="BLPR18820040303143550778">#REF!</definedName>
    <definedName name="Commitment_Fee">#REF!</definedName>
    <definedName name="_bdm.10B0F1170F3F477F99A925DC0C63D01B.edm">#REF!</definedName>
    <definedName name="BLPR17120040303143550457_2_2">#REF!</definedName>
    <definedName localSheetId="0" name="Training">#REF!</definedName>
    <definedName name="LionBDQRQRestriction">#REF!</definedName>
    <definedName name="_33__123Graph_AChart_6">#REF!</definedName>
    <definedName name="Rwvu.Page4.">#REF!</definedName>
    <definedName name="IgpdiAcum10">#REF!</definedName>
    <definedName name="rEPS2006Local">#REF!</definedName>
    <definedName name="_bdm.EEE3E104A5B84984B66FA7FFBB833C3B.edm">#REF!</definedName>
    <definedName name="DU_11">#REF!</definedName>
    <definedName name="FDP_137_1_aDdv">#REF!</definedName>
    <definedName name="q499_ni">#REF!</definedName>
    <definedName name="RedC_22">#REF!</definedName>
    <definedName name="WIZARD_Y3Q2E">#REF!</definedName>
    <definedName name="FDP_1_1_aSrv">#REF!</definedName>
    <definedName name="____SUB2">#REF!</definedName>
    <definedName localSheetId="0" name="Conv">#REF!</definedName>
    <definedName name="BLPR7720040303143549976">#REF!</definedName>
    <definedName name="BLPR20220040303143551999">#REF!</definedName>
    <definedName name="FDP_79_1_aSrv">#REF!</definedName>
    <definedName name="IpcaAcumAno5">#REF!</definedName>
    <definedName name="_bdm.08272F5D3A0A493499A3F4309F90A976.edm">#REF!</definedName>
    <definedName name="_ANO81">#REF!</definedName>
    <definedName name="_Fill">#REF!</definedName>
    <definedName localSheetId="0" name="investment">#REF!</definedName>
    <definedName name="DOMREV">#REF!</definedName>
    <definedName localSheetId="0" name="IVES_PRICE">#REF!</definedName>
    <definedName name="CLMSPRYR">#REF!</definedName>
    <definedName name="BLPR14720040303143550077">#REF!</definedName>
    <definedName name="prolinks_c3aba31788fa43d7b41bcfc7f3022bc7">#REF!</definedName>
    <definedName name="BLPR22020040303143552210">#REF!</definedName>
    <definedName name="_x11">#REF!</definedName>
    <definedName localSheetId="0" name="rename">#REF!</definedName>
    <definedName name="DCDEleVol2007Q2">#REF!</definedName>
    <definedName name="JULSP">#REF!</definedName>
    <definedName name="__x8">#REF!</definedName>
    <definedName name="Staton_Island_Penetration_Rate">#REF!</definedName>
    <definedName name="ConvertHide">#REF!</definedName>
    <definedName name="Straight_Preferred_4_3">#REF!</definedName>
    <definedName localSheetId="0" name="fy_96">#REF!</definedName>
    <definedName name="teste34">#REF!</definedName>
    <definedName name="Price_Registration2018">#REF!</definedName>
    <definedName name="_____DCF7">#REF!</definedName>
    <definedName localSheetId="0" name="desc">#REF!</definedName>
    <definedName name="Sust_OutrC_20">#REF!</definedName>
    <definedName name="LIMIT">#REF!</definedName>
    <definedName name="FDP_87_1_aDrv">#REF!</definedName>
    <definedName name="_46__123Graph_CCHART_15">#REF!</definedName>
    <definedName localSheetId="0" name="qpl_pg1">#REF!</definedName>
    <definedName name="asaaa">#REF!</definedName>
    <definedName name="_bdm.BAC6DC5CE0274B93A5E7D06DEFC20DB3.edm">#REF!</definedName>
    <definedName name="MscoInputCell16">#REF!</definedName>
    <definedName name="BLPH129">#REF!</definedName>
    <definedName name="BS_PPE">#REF!</definedName>
    <definedName localSheetId="0" name="ççç">#REF!</definedName>
    <definedName name="Options_and_Warrants_1_2">#REF!</definedName>
    <definedName name="__x4">#REF!</definedName>
    <definedName name="PARTIC.ESTAT">#REF!</definedName>
    <definedName name="WIZARD_MARKETCAP">#REF!</definedName>
    <definedName name="___ANO87">#REF!</definedName>
    <definedName name="CurrencySymbol">#REF!</definedName>
    <definedName name="BLPR13820040303143550077">#REF!</definedName>
    <definedName name="_TSU93">#REF!</definedName>
    <definedName name="rEBIT10K">#REF!</definedName>
    <definedName name="__ANO93">#REF!</definedName>
    <definedName name="LionKDResultsDateSection">#REF!</definedName>
    <definedName localSheetId="0" name="Goodwill4">#REF!</definedName>
    <definedName name="cod_crednsa">#REF!</definedName>
    <definedName name="s_23">#REF!</definedName>
    <definedName name="LogInResponse">#REF!</definedName>
    <definedName localSheetId="0" name="MODULE2">#REF!</definedName>
    <definedName name="bchart16">#REF!</definedName>
    <definedName name="MULT981a">#REF!</definedName>
    <definedName name="___ANO91">#REF!</definedName>
    <definedName name="p_LBO_CF">#REF!</definedName>
    <definedName localSheetId="0" name="check3">#REF!</definedName>
    <definedName localSheetId="0" name="LionADRShares">#REF!</definedName>
    <definedName name="BLPH91">#REF!</definedName>
    <definedName name="CF_Non_Cash_Interest">#REF!</definedName>
    <definedName name="_bdm.8F9C106300EA469DB062E0DFF3B46499.edm">#REF!</definedName>
    <definedName name="BLPR19620040303143550948">#REF!</definedName>
    <definedName localSheetId="0" name="lic">#REF!</definedName>
    <definedName name="tranche_b">#REF!</definedName>
    <definedName localSheetId="0" name="won">#REF!</definedName>
    <definedName name="BLPR4120040303143540873_2_3">#REF!</definedName>
    <definedName name="LastPriceDate">#REF!</definedName>
    <definedName name="check1">#REF!</definedName>
    <definedName name="Manhattan_Zone1_Penetration_Rate">#REF!</definedName>
    <definedName name="opex">#REF!</definedName>
    <definedName name="LionBDInvOpinion1LookUp">#REF!</definedName>
    <definedName localSheetId="0" name="DSE">#REF!</definedName>
    <definedName localSheetId="0" name="PART.MINORITARIOS">#REF!</definedName>
    <definedName name="Revenue">#REF!</definedName>
    <definedName name="LionBDLinkedStk">#REF!</definedName>
    <definedName name="__ANO70">#REF!</definedName>
    <definedName name="BeginDate3">#REF!</definedName>
    <definedName name="__ANO96">#REF!</definedName>
    <definedName name="FDP_83_1_aDrv">#REF!</definedName>
    <definedName name="BLPR14920040303143550077">#REF!</definedName>
    <definedName name="_bdm.6553C3C6AFB14273978B1A7A374B2E36.edm">#REF!</definedName>
    <definedName name="file">#REF!</definedName>
    <definedName name="LBO">#REF!</definedName>
    <definedName name="PeerNames">#REF!</definedName>
    <definedName name="_sbs1">#REF!</definedName>
    <definedName name="BLPR720040303143540783_3_3">#REF!</definedName>
    <definedName localSheetId="0" name="Debt_1_1">#REF!</definedName>
    <definedName name="p_Options">#REF!</definedName>
    <definedName name="_115_0__123Graph_DCHAR">#REF!</definedName>
    <definedName name="TargLTDebt">#REF!</definedName>
    <definedName name="RESERVA.REAVAL">#REF!</definedName>
    <definedName name="SALDO">#REF!</definedName>
    <definedName name="PREF_ON">#REF!</definedName>
    <definedName name="dd">#REF!</definedName>
    <definedName name="SEK_X">#REF!</definedName>
    <definedName name="Convertible_Preferred_3_4">#REF!</definedName>
    <definedName name="Divisão">#REF!</definedName>
    <definedName name="BLPR17420040303143550507_1_2">#REF!</definedName>
    <definedName name="Intro2">#REF!</definedName>
    <definedName name="CF_Capex">#REF!</definedName>
    <definedName localSheetId="0" name="rAvgStrikePriceUSD">#REF!</definedName>
    <definedName name="BLPR19120040303143550838_1_2">#REF!</definedName>
    <definedName name="EXPPRYR">#REF!</definedName>
    <definedName name="Debt_4_5">#REF!</definedName>
    <definedName localSheetId="0" name="Exityear">#REF!</definedName>
    <definedName name="_bdm.F572F41CF83D4D52A9586CAF9B233C17.edm">#REF!</definedName>
    <definedName localSheetId="0" name="Weight_List">#REF!</definedName>
    <definedName name="bsglass">#REF!</definedName>
    <definedName name="s_1">#REF!</definedName>
    <definedName name="MVE_ECF">#REF!</definedName>
    <definedName name="_lb23">#REF!</definedName>
    <definedName name="FDP_82_1_aSrv">#REF!</definedName>
    <definedName name="Selling">#REF!</definedName>
    <definedName name="__la6">#REF!</definedName>
    <definedName name="prolinks_b036f74dcc0a46d2bb6d8bb3e08ae870">#REF!</definedName>
    <definedName name="BLPR3020040303143540843_2_3">#REF!</definedName>
    <definedName name="prolinks_f42233c682764aa4bbc726a452bc4ed0">#REF!</definedName>
    <definedName name="DebtRatio">#REF!</definedName>
    <definedName name="____DCF10">#REF!</definedName>
    <definedName name="Indice04">#REF!</definedName>
    <definedName localSheetId="0" name="Prior">#REF!</definedName>
    <definedName name="_bdm.B1FEB46BDB8E49A2B6BE880F28A95513.edm">#REF!</definedName>
    <definedName localSheetId="0" name="Tot_Usage">#REF!</definedName>
    <definedName name="__EPS01">#REF!</definedName>
    <definedName name="CONSUMER">#REF!</definedName>
    <definedName name="FDP_54_1_aUrv">#REF!</definedName>
    <definedName localSheetId="0" name="DCD">#REF!</definedName>
    <definedName localSheetId="0" name="wcass3">#REF!</definedName>
    <definedName name="Business_Case">#REF!</definedName>
    <definedName name="Mortgage_Duration">#REF!</definedName>
    <definedName name="BLPR8120040303143549987">#REF!</definedName>
    <definedName name="IpcaAcum10">#REF!</definedName>
    <definedName localSheetId="0" name="q197_rev">#REF!</definedName>
    <definedName name="BLPR18920040303143550798">#REF!</definedName>
    <definedName name="cal_yr_comps">#REF!</definedName>
    <definedName name="calendar">#REF!</definedName>
    <definedName localSheetId="0" name="FebOn">#REF!</definedName>
    <definedName name="_ANO89">#REF!</definedName>
    <definedName localSheetId="0" name="VolumeComplement">#REF!</definedName>
    <definedName name="_ANO93">#REF!</definedName>
    <definedName name="BLPR1720040303143540823">#REF!</definedName>
    <definedName name="Convertible_Preferred_5_3">#REF!</definedName>
    <definedName name="Matrix">#REF!</definedName>
    <definedName name="p_LBO_DebtB">#REF!</definedName>
    <definedName localSheetId="0" name="AcqLTDebt">#REF!</definedName>
    <definedName name="fxRATE">#REF!</definedName>
    <definedName name="AFIL.REC.MI">#REF!</definedName>
    <definedName name="BLPR6920040303143549966_1_1">#REF!</definedName>
    <definedName name="co_name">#REF!</definedName>
    <definedName name="BLPR19720040303143550968_2_2">#REF!</definedName>
    <definedName name="_77__123Graph_ECHART_14">#REF!</definedName>
    <definedName name="BLPR5620040303143542105">#REF!</definedName>
    <definedName localSheetId="0" name="erate">#REF!</definedName>
    <definedName name="costinc3">#REF!</definedName>
    <definedName localSheetId="0" name="NETWORTH">#REF!</definedName>
    <definedName name="prolinks_b878ded818ef40dab49c66b4baa914c3">#REF!</definedName>
    <definedName name="PROWC">#REF!</definedName>
    <definedName name="MULT982c20">#REF!</definedName>
    <definedName name="Send_X.400">#REF!</definedName>
    <definedName name="_94__123Graph_FCHART_16">#REF!</definedName>
    <definedName localSheetId="0" name="PERFORMANCE">#REF!</definedName>
    <definedName localSheetId="0" name="PostTaxNom">#REF!</definedName>
    <definedName name="participation">#REF!</definedName>
    <definedName name="BLPR17820040303143550577_1_2">#REF!</definedName>
    <definedName localSheetId="0" name="shr_repurchase">#REF!</definedName>
    <definedName name="BLPR17120040303143550457">#REF!</definedName>
    <definedName name="LBO40a">#REF!</definedName>
    <definedName name="BeginDate4">#REF!</definedName>
    <definedName localSheetId="0" name="gmarg">#REF!</definedName>
    <definedName name="rEPS2007USD">#REF!</definedName>
    <definedName name="BLPR5720040303143542105">#REF!</definedName>
    <definedName localSheetId="0" name="Address2">#REF!</definedName>
    <definedName name="MarOn">#REF!</definedName>
    <definedName name="__lb9">#REF!</definedName>
    <definedName name="Qtr_4">#REF!</definedName>
    <definedName name="PreCalcNetRes">#REF!</definedName>
    <definedName name="LionKDXdDateQ2">#REF!</definedName>
    <definedName name="CCCC">#REF!</definedName>
    <definedName name="LionBDPERelHomeMkt">#REF!</definedName>
    <definedName name="TPROF">#REF!</definedName>
    <definedName name="__lbc32">#REF!</definedName>
    <definedName name="Minorities">#REF!</definedName>
    <definedName name="_GSRATESR_6">#REF!</definedName>
    <definedName name="_12">#REF!</definedName>
    <definedName name="CC">#REF!</definedName>
    <definedName name="EXPBUD">#REF!</definedName>
    <definedName name="prolinks_a0a285786d6e45188df220ffd144cdae">#REF!</definedName>
    <definedName name="_bdm.8CCFE94991DB4BF2A884610204801C02.edm">#REF!</definedName>
    <definedName name="BLPH75">#REF!</definedName>
    <definedName name="KELLY">#REF!</definedName>
    <definedName name="PreTaxNomImp">#REF!</definedName>
    <definedName name="_GSRATESR_5">#REF!</definedName>
    <definedName name="RiskPrem">#REF!</definedName>
    <definedName name="BLPR2020040303143540823_1_3">#REF!</definedName>
    <definedName localSheetId="0" name="DDR">#REF!</definedName>
    <definedName name="Maximum_Seats">#REF!</definedName>
    <definedName name="_bdm.E85BDA202746449BB582A37B5FF1C9C9.edm">#REF!</definedName>
    <definedName name="Acquirer">#REF!</definedName>
    <definedName name="Convertible_Debt_Converted">#REF!</definedName>
    <definedName name="prolinks_4ba229edbf334a2ba44ddb2b487cf5dc">#REF!</definedName>
    <definedName name="WIZARD_SHARESOUTSTANDING">#REF!</definedName>
    <definedName name="prolinks_0f0e4baddc4f4bf6951fe11914aea034">#REF!</definedName>
    <definedName name="_____rev2">#REF!</definedName>
    <definedName localSheetId="0" name="_bdm.B0AF1305EDE049AA8E514A4033BCF1EC.edm">#REF!</definedName>
    <definedName name="_____FCF4">#REF!</definedName>
    <definedName name="_ANO87">#REF!</definedName>
    <definedName name="___dcf1">#REF!</definedName>
    <definedName name="Price_LienCheck2014">#REF!</definedName>
    <definedName name="_7__123Graph_AMOF_NB">#REF!</definedName>
    <definedName name="__lf31">#REF!</definedName>
    <definedName name="s_8">#REF!</definedName>
    <definedName name="FDP_142_1_aUrv">#REF!</definedName>
    <definedName name="Revenue_Model">#REF!</definedName>
    <definedName name="_24__123Graph_ACHART_1">#REF!</definedName>
    <definedName name="STMATRIX8">#REF!</definedName>
    <definedName name="achart4">#REF!</definedName>
    <definedName name="_bdm.612C4B6ECC53400CBD83CA97435E1C97.edm">#REF!</definedName>
    <definedName name="BLPR19020040303143550818_2_2">#REF!</definedName>
    <definedName name="prolinks_3d09567f6d114f9794bbb5235c9e6a52">#REF!</definedName>
    <definedName name="check3">#REF!</definedName>
    <definedName name="Other_Taxes">#REF!</definedName>
    <definedName name="_41__123Graph_CCHART_10">#REF!</definedName>
    <definedName name="BLPR1820040303143540823">#REF!</definedName>
    <definedName name="ACwvu.Revenue.">#REF!</definedName>
    <definedName name="Long_Island_Penetration_Rate">#REF!</definedName>
    <definedName name="BLPH72">#REF!</definedName>
    <definedName localSheetId="0" name="sec_invt">#REF!</definedName>
    <definedName name="__ANO87">#REF!</definedName>
    <definedName name="BLPH28">#REF!</definedName>
    <definedName name="LBO30a">#REF!</definedName>
    <definedName localSheetId="0" name="Selic10">#REF!</definedName>
    <definedName name="Options_and_Warrants_7_3">#REF!</definedName>
    <definedName name="FDP_114_1_aUrv">#REF!</definedName>
    <definedName localSheetId="0" name="ACT_METHOD">#REF!</definedName>
    <definedName localSheetId="0" name="Aktuellt">#REF!</definedName>
    <definedName name="prolinks_95528329550b40bfb35105ce8ea05156">#REF!</definedName>
    <definedName name="MULT982a20">#REF!</definedName>
    <definedName name="ASDFG">#REF!</definedName>
    <definedName name="Debt_13_4">#REF!</definedName>
    <definedName name="Price_DNA2014">#REF!</definedName>
    <definedName name="_bdm.B924BFBECCDF4DC4A670F86C433A1FC9.edm">#REF!</definedName>
    <definedName name="cexp_stdebt">#REF!</definedName>
    <definedName name="MESES">#REF!</definedName>
    <definedName name="FDP_44_1_aDdv">#REF!</definedName>
    <definedName name="MULT_CHOICE">#REF!</definedName>
    <definedName name="_bdm.86EBE8A4A62B4D62B2CC6BF41302CE55.edm">#REF!</definedName>
    <definedName name="_lb22">#REF!</definedName>
    <definedName name="__123Graph_DPET">#REF!</definedName>
    <definedName name="DIARIO2B">#REF!</definedName>
    <definedName name="Average_Handle_Time_Outbound_Service_Call">#REF!</definedName>
    <definedName name="_lbc29">#REF!</definedName>
    <definedName localSheetId="0" name="DataRange">#REF!</definedName>
    <definedName name="week">#REF!</definedName>
    <definedName name="maiytd">#REF!</definedName>
    <definedName name="__la9">#REF!</definedName>
    <definedName name="______FCF2">#REF!</definedName>
    <definedName name="BLPR5320040303143542095_2_3">#REF!</definedName>
    <definedName name="LAMBBS">#REF!</definedName>
    <definedName name="BREAKUP">#REF!</definedName>
    <definedName name="_59__123Graph_DCHART_12">#REF!</definedName>
    <definedName name="Options_and_Warrants_5_1">#REF!</definedName>
    <definedName name="acq_ticker">#REF!</definedName>
    <definedName localSheetId="0" name="TRADUÇÃO.PL">#REF!</definedName>
    <definedName name="Start2">#REF!</definedName>
    <definedName name="_____EPS03">#REF!</definedName>
    <definedName name="FDP_106_1_aUrv">#REF!</definedName>
    <definedName name="PERSONNEL_ANALYSIS">#REF!</definedName>
    <definedName name="Q3_90">#REF!</definedName>
    <definedName localSheetId="0" name="BdCentroDeCustos">#REF!</definedName>
    <definedName name="prolinks_c33a99db92fa4e359261dc5225c50f9a">#REF!</definedName>
    <definedName name="Convertible_Debt_1_5">#REF!</definedName>
    <definedName name="cast_lbo">#REF!</definedName>
    <definedName name="CFPS__DM">#REF!</definedName>
    <definedName name="_bdm.740B4783E1C74C38B85E46879D13A21B.edm">#REF!</definedName>
    <definedName name="RAD">#REF!</definedName>
    <definedName name="Debt_13_1">#REF!</definedName>
    <definedName name="cod_outcredvsa">#REF!</definedName>
    <definedName name="CF_Straight_Preferred">#REF!</definedName>
    <definedName name="PREM1">#REF!</definedName>
    <definedName name="Q3_92">#REF!</definedName>
    <definedName localSheetId="0" name="CompanyName1">#REF!</definedName>
    <definedName name="Convertible_Preferred_2_3">#REF!</definedName>
    <definedName name="_x21">#REF!</definedName>
    <definedName name="ACCDIL99e30">#REF!</definedName>
    <definedName name="FDP_101_1_aUrv">#REF!</definedName>
    <definedName localSheetId="0" name="balance1">#REF!</definedName>
    <definedName name="LBO40b">#REF!</definedName>
    <definedName name="BtmGLCName">#REF!</definedName>
    <definedName name="BLPH130">#REF!</definedName>
    <definedName localSheetId="0" name="CF_Investments">#REF!</definedName>
    <definedName name="Debt_6_5">#REF!</definedName>
    <definedName name="Price_Portal2018">#REF!</definedName>
    <definedName name="rCashPercentage">#REF!</definedName>
    <definedName name="DebtBeta">#REF!</definedName>
    <definedName name="achart8">#REF!</definedName>
    <definedName name="Retire_Debt">#REF!</definedName>
    <definedName name="ebita">#REF!</definedName>
    <definedName name="_ANO84">#REF!</definedName>
    <definedName localSheetId="0" name="CF_AP">#REF!</definedName>
    <definedName name="BLPR20720040303143552009_1_1">#REF!</definedName>
    <definedName name="LBO1d">#REF!</definedName>
    <definedName localSheetId="0" name="RiskFreeR">#REF!</definedName>
    <definedName name="sales4">#REF!</definedName>
    <definedName name="revinc2">#REF!</definedName>
    <definedName name="LionPieChart2Title">#REF!</definedName>
    <definedName name="q199_shares">#REF!</definedName>
    <definedName localSheetId="0" name="C.C.COLIGADAS">#REF!</definedName>
    <definedName localSheetId="0" name="PREMISSAS_3">#REF!</definedName>
    <definedName name="Stats">#REF!</definedName>
    <definedName name="SLTax">#REF!</definedName>
    <definedName localSheetId="0" name="CliBlkReg">#REF!</definedName>
    <definedName name="_____FCF2">#REF!</definedName>
    <definedName name="rBookEquity">#REF!</definedName>
    <definedName name="IpcaAcum5">#REF!</definedName>
    <definedName name="SENSITIVE">#REF!</definedName>
    <definedName name="Acq06NetInc3">#REF!</definedName>
    <definedName localSheetId="0" name="PATRIMONIO.LIQ">#REF!</definedName>
    <definedName name="_bdm.4849E8C5A9134887B8325221FE2B5C37.edm">#REF!</definedName>
    <definedName name="_bdm.AFF93C8BE33847BF935DD73FBBAAFC2F.edm">#REF!</definedName>
    <definedName name="OPBFBUD">#REF!</definedName>
    <definedName localSheetId="0" name="DebtToEquity">#REF!</definedName>
    <definedName name="BLPR4320040303143540873_2_3">#REF!</definedName>
    <definedName name="__ANO74">#REF!</definedName>
    <definedName name="HAWK1">#REF!</definedName>
    <definedName name="Rs">#REF!</definedName>
    <definedName name="Sparrow">#REF!</definedName>
    <definedName name="_bdm.3DC96EBB28FF45C592E658DD343F395A.edm">#REF!</definedName>
    <definedName name="StartPBSCS">#REF!</definedName>
    <definedName name="Price_Registration">#REF!</definedName>
    <definedName name="__123Graph_BCAPRO">#REF!</definedName>
    <definedName name="_bdm.06803F619CFE4C00ABB3D158F9BBD2F8.edm">#REF!</definedName>
    <definedName name="BLPR20120040303143551999">#REF!</definedName>
    <definedName name="BLPR4620040303143540883_3_3">#REF!</definedName>
    <definedName name="__DCF11">#REF!</definedName>
    <definedName name="prolinks_1e844321c2264d82abd0a959b7ee3753">#REF!</definedName>
    <definedName name="Options_and_Warrants_7_1">#REF!</definedName>
    <definedName name="MIL">#REF!</definedName>
    <definedName localSheetId="0" name="EEUCBCR">#REF!</definedName>
    <definedName name="PL_Convertible_PDividend">#REF!</definedName>
    <definedName name="__ld26">#REF!</definedName>
    <definedName name="CF_Other">#REF!</definedName>
    <definedName name="BLPR12320040303143550047_1_1">#REF!</definedName>
    <definedName name="BLPH33">#REF!</definedName>
    <definedName name="fy99_shares">#REF!</definedName>
    <definedName name="_bdm.55E77FB8B7DE4D33AD9BDBF6AF356B55.edm">#REF!</definedName>
    <definedName name="BS_Deferred_Taxes">#REF!</definedName>
    <definedName name="Straight_Preferred_5_2">#REF!</definedName>
    <definedName name="BLPR7820040303143549976">#REF!</definedName>
    <definedName name="BLPR2320040303143540833_1_3">#REF!</definedName>
    <definedName name="BLPH93">#REF!</definedName>
    <definedName name="September">#REF!</definedName>
    <definedName name="WIZARD_REVENUES">#REF!</definedName>
    <definedName name="_x7">#REF!</definedName>
    <definedName name="BLPR1220040303143540803">#REF!</definedName>
    <definedName localSheetId="0" name="cod_arren">#REF!</definedName>
    <definedName name="AcqMinInt">#REF!</definedName>
    <definedName localSheetId="0" name="q398_ni">#REF!</definedName>
    <definedName name="BLPH88">#REF!</definedName>
    <definedName name="EndDate">#REF!</definedName>
    <definedName name="BLPH32">#REF!</definedName>
    <definedName name="rShares2007">#REF!</definedName>
    <definedName name="Selic0">#REF!</definedName>
    <definedName localSheetId="0" name="Attn_name">#REF!</definedName>
    <definedName name="BLPH166">#REF!</definedName>
    <definedName name="depn">#REF!</definedName>
    <definedName name="q399_ni">#REF!</definedName>
    <definedName name="__lbc8">#REF!</definedName>
    <definedName name="____PBT02">#REF!</definedName>
    <definedName name="_bdm.10A5C370EFD8426DB7A5F23C407CDC77.edm">#REF!</definedName>
    <definedName localSheetId="0" name="Title2">#REF!</definedName>
    <definedName localSheetId="0" name="__PBT01">#REF!</definedName>
    <definedName name="_22">#REF!</definedName>
    <definedName localSheetId="0" name="DR">#REF!</definedName>
    <definedName name="JulyOn">#REF!</definedName>
    <definedName name="ACCDIL99a">#REF!</definedName>
    <definedName name="p_LBO_Amort">#REF!</definedName>
    <definedName localSheetId="0" name="Bronx_Penetration_Rate">#REF!</definedName>
    <definedName name="DEPREC.COML">#REF!</definedName>
    <definedName localSheetId="0" name="_6">#REF!</definedName>
    <definedName name="PREMB">#REF!</definedName>
    <definedName name="BLPR19420040303143550898">#REF!</definedName>
    <definedName name="BLPR17720040303143550557_1_2">#REF!</definedName>
    <definedName name="__cab1">#REF!</definedName>
    <definedName name="_bdm.E4AF888FE7BD4045A62834560FC03222.edm">#REF!</definedName>
    <definedName name="BLPH180">#REF!</definedName>
    <definedName name="Acq_Dep">#REF!</definedName>
    <definedName name="Options_and_Warrants_6_1">#REF!</definedName>
    <definedName name="_50__123Graph_CCHART_3">#REF!</definedName>
    <definedName name="MULT982f30">#REF!</definedName>
    <definedName name="IRR">#REF!</definedName>
    <definedName name="BLPR21820040303143552160">#REF!</definedName>
    <definedName name="_bdm.D3CA85A4A94343CD845F7E9A654EA875.edm">#REF!</definedName>
    <definedName localSheetId="0" name="Variation_in_Pension_Provisions">#REF!</definedName>
    <definedName name="MVIC_Sales">#REF!</definedName>
    <definedName name="SETVIN">#REF!</definedName>
    <definedName name="LionBDQRQChange">#REF!</definedName>
    <definedName localSheetId="0" name="pref">#REF!</definedName>
    <definedName name="cb">#REF!</definedName>
    <definedName name="BLPR6820040303143549966">#REF!</definedName>
    <definedName name="BLPH127">#REF!</definedName>
    <definedName name="BMFOUT">#REF!</definedName>
    <definedName name="Fluxo4">#REF!</definedName>
    <definedName localSheetId="0" name="becTABLE">#REF!</definedName>
    <definedName name="BLPR21320040303143552009_1_1">#REF!</definedName>
    <definedName name="_bdm.6292C343E6D64CBA89D65F06A80A6A29.edm">#REF!</definedName>
    <definedName name="prolinks_c25c8fc20d944beea3fb8d98ab2a0345">#REF!</definedName>
    <definedName name="Debt_10_3">#REF!</definedName>
    <definedName name="ExportFX">#REF!</definedName>
    <definedName name="AMTK">#REF!</definedName>
    <definedName name="BLPR19520040303143550928">#REF!</definedName>
    <definedName name="Capitalization_Summary">#REF!</definedName>
    <definedName name="_bdm.7EEFA99238FF46BFB79CD79A28074FC5.edm">#REF!</definedName>
    <definedName name="BLPH113">#REF!</definedName>
    <definedName name="BLPR18720040303143550758_1_2">#REF!</definedName>
    <definedName name="___cfs1">#REF!</definedName>
    <definedName name="_ANO71">#REF!</definedName>
    <definedName name="fy00_rev">#REF!</definedName>
    <definedName name="IgpmAcum3">#REF!</definedName>
    <definedName name="OUTRAS.REC">#REF!</definedName>
    <definedName name="CF_Amortization">#REF!</definedName>
    <definedName name="_x12">#REF!</definedName>
    <definedName name="___sbs1">#REF!</definedName>
    <definedName name="_bdm.6A906534141A449C92DDE242A7B03DB3.edm">#REF!</definedName>
    <definedName localSheetId="0" name="rEPS2001USD">#REF!</definedName>
    <definedName name="BLPR17320040303143550487">#REF!</definedName>
    <definedName name="Q2_90">#REF!</definedName>
    <definedName name="BLPR2220040303143540833_1_3">#REF!</definedName>
    <definedName localSheetId="0" name="abr">#REF!</definedName>
    <definedName name="QDATE">#REF!</definedName>
    <definedName name="BLPH16">#REF!</definedName>
    <definedName name="Price_DNA2013">#REF!</definedName>
    <definedName name="FCFd">#REF!</definedName>
    <definedName localSheetId="0" name="Minorities">#REF!</definedName>
    <definedName name="____row1">#REF!</definedName>
    <definedName name="_1__123Graph_AChart_1A">#REF!</definedName>
    <definedName name="BLPR10820040303143550027_1_1">#REF!</definedName>
    <definedName localSheetId="0" name="CF_Convertible_Debt">#REF!</definedName>
    <definedName name="Sust_HW_C_23">#REF!</definedName>
    <definedName localSheetId="0" name="rTarget">#REF!</definedName>
    <definedName name="BLPR4020040303143540873_2_3">#REF!</definedName>
    <definedName localSheetId="0" name="PARTIC.ESTAT">#REF!</definedName>
    <definedName name="PL_FDEPS">#REF!</definedName>
    <definedName name="__123Graph_FCAPRO">#REF!</definedName>
    <definedName name="ofis_cash">#REF!</definedName>
    <definedName name="damelu">#REF!</definedName>
    <definedName name="EST.MATERIAIS">#REF!</definedName>
    <definedName name="__REV02">#REF!</definedName>
    <definedName name="___FCF6">#REF!</definedName>
    <definedName name="CF_Beg_Cash">#REF!</definedName>
    <definedName name="BLPR13920040303143550077">#REF!</definedName>
    <definedName name="wcass2">#REF!</definedName>
    <definedName localSheetId="0" name="Other_Provisions">#REF!</definedName>
    <definedName name="BLPH172">#REF!</definedName>
    <definedName name="_bdm.5F0F4E4EC94A4750BB00101B9C6374EF.edm">#REF!</definedName>
    <definedName name="Value_label">#REF!</definedName>
    <definedName name="methodology_name">#REF!</definedName>
    <definedName name="achart32">#REF!</definedName>
    <definedName name="Sust_Capex_19">#REF!</definedName>
    <definedName name="FDP_88_1_aSrv">#REF!</definedName>
    <definedName name="TESTE_MALUCO">#REF!</definedName>
    <definedName name="_TRC94">#REF!</definedName>
    <definedName name="_bdm.EA56479A4FFF48E49B8E70174D9EC0BB.edm">#REF!</definedName>
    <definedName name="Ambiente">#REF!</definedName>
    <definedName name="Área">#REF!</definedName>
    <definedName name="BLPR17920040303143550597_2_2">#REF!</definedName>
    <definedName localSheetId="0" name="postal2">#REF!</definedName>
    <definedName name="p_Depr1">#REF!</definedName>
    <definedName localSheetId="0" name="rCurrentPriceUSD">#REF!</definedName>
    <definedName name="prolinks_abdee289257f419884c45f67b8106123">#REF!</definedName>
    <definedName localSheetId="0" name="BUNDYDOWN">#REF!</definedName>
    <definedName name="NINT">#REF!</definedName>
    <definedName localSheetId="0" name="_LBO1">#REF!</definedName>
    <definedName localSheetId="0" name="EPSPrint">#REF!</definedName>
    <definedName localSheetId="0" name="CliMsgTotUnits">#REF!</definedName>
    <definedName name="_12_0_0Cwvu.GREY_A">#REF!</definedName>
    <definedName name="p_InterestExp">#REF!</definedName>
    <definedName localSheetId="0" name="aaaaaaaaaaaaaaaaaaaaaaaaaaaaaaaaaaaaaaaaaaaaaaaaa">#REF!</definedName>
    <definedName name="Targ06NetInc3">#REF!</definedName>
    <definedName name="ENDOINCD">#REF!</definedName>
    <definedName name="BLPR220040303143540773">#REF!</definedName>
    <definedName name="__lb32">#REF!</definedName>
    <definedName name="_bdm.905A6DB34DA741159D037A8E399EED46.edm">#REF!</definedName>
    <definedName name="_____PRN2">#REF!</definedName>
    <definedName name="___ANO85">#REF!</definedName>
    <definedName localSheetId="0" name="Receitas">#REF!</definedName>
    <definedName name="Other_Cash_Items">#REF!</definedName>
    <definedName localSheetId="0" name="DCFOUT">#REF!</definedName>
    <definedName localSheetId="0" name="participation">#REF!</definedName>
    <definedName name="BLPR15620040303143550227">#REF!</definedName>
    <definedName localSheetId="0" name="PASSIVO">#REF!</definedName>
    <definedName name="FEVVIN">#REF!</definedName>
    <definedName name="FDP_51_1_aUrv">#REF!</definedName>
    <definedName name="YEARS">#REF!</definedName>
    <definedName name="q198_shares">#REF!</definedName>
    <definedName name="_23">#REF!</definedName>
    <definedName name="FDP_9_1_aDrv">#REF!</definedName>
    <definedName name="Debt_17_4">#REF!</definedName>
    <definedName name="qpl">#REF!</definedName>
    <definedName name="HistoComplement">#REF!</definedName>
    <definedName name="_bdm.D702AC9A9ECD473192A63E1211AB36A0.edm">#REF!</definedName>
    <definedName name="ACCDIL01e20">#REF!</definedName>
    <definedName name="_102__123Graph_XCHART_2">#REF!</definedName>
    <definedName name="s_31">#REF!</definedName>
    <definedName name="etesse">#REF!</definedName>
    <definedName name="BLPR14820040303143550077_1_1">#REF!</definedName>
    <definedName name="prolinks_0df7721664dc4e4d8d1f3c2c17292d7a">#REF!</definedName>
    <definedName name="rEPS2004Local">#REF!</definedName>
    <definedName name="prolinks_d15500ceeb89439da466a4827b84870b">#REF!</definedName>
    <definedName name="_bdm.BA383BC43C9E43F189F3F3A144234079.edm">#REF!</definedName>
    <definedName name="BLPR17520040303143550527">#REF!</definedName>
    <definedName name="MscoInputCell11">#REF!</definedName>
    <definedName name="_97__123Graph_FCHART_7">#REF!</definedName>
    <definedName name="Timing_Variance_Of_Issue_Factor">#REF!</definedName>
    <definedName name="__lb23">#REF!</definedName>
    <definedName name="Manhattan_Zone2_Penetration_Rate">#REF!</definedName>
    <definedName name="p_DebtBreakdownA">#REF!</definedName>
    <definedName name="BLPR19820040303143550988">#REF!</definedName>
    <definedName name="BLPR6220040303143548074_1_1">#REF!</definedName>
    <definedName name="_5__123Graph_AGROWTH_REVS_B">#REF!</definedName>
    <definedName name="BLPR18820040303143550778_1_2">#REF!</definedName>
    <definedName name="BLPR6520040303143548114">#REF!</definedName>
    <definedName name="BLPR1120040303143540803">#REF!</definedName>
    <definedName name="_bdm.402EF4B3DEC74AB88E6557867AB10C8C.edm">#REF!</definedName>
    <definedName name="__123Graph_AEVAC">#REF!</definedName>
    <definedName name="Período">#REF!</definedName>
    <definedName name="NATLVIDEO">#REF!</definedName>
    <definedName name="LBOSUM">#REF!</definedName>
    <definedName name="IScomm">#REF!</definedName>
    <definedName name="OMEDWCD">#REF!</definedName>
    <definedName name="Sust_OutrO_24">#REF!</definedName>
    <definedName name="STMATRIX2">#REF!</definedName>
    <definedName localSheetId="0" name="GRAPH1">#REF!</definedName>
    <definedName name="FDP_73_1_aUrv">#REF!</definedName>
    <definedName name="MODULE1">#REF!</definedName>
    <definedName name="Net_profit">#REF!</definedName>
    <definedName name="_la31">#REF!</definedName>
    <definedName name="____FCF1">#REF!</definedName>
    <definedName name="prolinks_4dbac53a14a04fdebb5bc64dd483408d">#REF!</definedName>
    <definedName name="_bdm.AB497C52270C4F4696212E6AE1C64504.edm">#REF!</definedName>
    <definedName localSheetId="0" name="Direct_Mail_Target_Customers">#REF!</definedName>
    <definedName name="Debt_7_2">#REF!</definedName>
    <definedName name="Ncomm">#REF!</definedName>
    <definedName name="Mix_de_Venda">#REF!</definedName>
    <definedName name="PL_Straight_Interest">#REF!</definedName>
    <definedName name="bchart18">#REF!</definedName>
    <definedName name="ACCDILe">#REF!</definedName>
    <definedName name="DemoFinEaling">#REF!</definedName>
    <definedName localSheetId="0" name="Bb.com">#REF!</definedName>
    <definedName name="Years_of_Lease">#REF!</definedName>
    <definedName name="_bdm.9D5A3D695E0542B78B9730A6079E10DD.edm">#REF!</definedName>
    <definedName localSheetId="0" name="warrants">#REF!</definedName>
    <definedName name="BLPR14220040303143550077_1_1">#REF!</definedName>
    <definedName name="obs_JurC">#REF!</definedName>
    <definedName name="_bdm.03ED33047F934FE981A8A803F5DDE3FA.edm">#REF!</definedName>
    <definedName name="_19">#REF!</definedName>
    <definedName name="rf">#REF!</definedName>
    <definedName name="BLPR15520040303143550207_1_2">#REF!</definedName>
    <definedName name="ACCDIL00d40">#REF!</definedName>
    <definedName name="__lb1">#REF!</definedName>
    <definedName name="AvgPrice">#REF!</definedName>
    <definedName name="BLPR21720040303143552130_2_2">#REF!</definedName>
    <definedName name="Dolar5">#REF!</definedName>
    <definedName name="ordshare01">#REF!</definedName>
    <definedName name="prolinks_0574634f06ec407ebb0810c46917f44f">#REF!</definedName>
    <definedName name="Q4_95">#REF!</definedName>
    <definedName name="_11C">#REF!</definedName>
    <definedName name="_la5">#REF!</definedName>
    <definedName name="_22_0Swvu.Pag">#REF!</definedName>
    <definedName name="_lb7">#REF!</definedName>
    <definedName name="FDP_69_1_aUrv">#REF!</definedName>
    <definedName name="FDP_64_1_aUrv">#REF!</definedName>
    <definedName name="Issue_Allocation_Chat">#REF!</definedName>
    <definedName name="rEPS">#REF!</definedName>
    <definedName localSheetId="0" name="__123Graph_XYTDSALES">#REF!</definedName>
    <definedName localSheetId="0" name="Price_Impact">#REF!</definedName>
    <definedName name="JV_ON">#REF!</definedName>
    <definedName name="JulyOff">#REF!</definedName>
    <definedName name="___FCF2">#REF!</definedName>
    <definedName name="_bdm.FE6989CCE97845AAB0B142D6987B5EAF.edm">#REF!</definedName>
    <definedName name="LBO30f">#REF!</definedName>
    <definedName name="GA_Summary">#REF!</definedName>
    <definedName name="rFYE">#REF!</definedName>
    <definedName name="rPricePaidA1">#REF!</definedName>
    <definedName name="Debt_18_2">#REF!</definedName>
    <definedName name="Capex_21">#REF!</definedName>
    <definedName name="cal99_eps">#REF!</definedName>
    <definedName name="BLPR2220040303143540833">#REF!</definedName>
    <definedName name="CORECREDITSTATS">#REF!</definedName>
    <definedName name="IMPWCD">#REF!</definedName>
    <definedName name="testes">#REF!</definedName>
    <definedName name="_107__123Graph_XCHART_5">#REF!</definedName>
    <definedName name="chave">#REF!</definedName>
    <definedName name="_bdm.DDF0DF4E210B4863B54373C4407823C3.edm">#REF!</definedName>
    <definedName name="BLPR13320040303143550067">#REF!</definedName>
    <definedName localSheetId="0" name="gwamort">#REF!</definedName>
    <definedName localSheetId="0" name="rGrossInterest10K">#REF!</definedName>
    <definedName name="fchart31">#REF!</definedName>
    <definedName name="TAXA">#REF!</definedName>
    <definedName name="__123Graph_AANIDRO">#REF!</definedName>
    <definedName name="RODP">#REF!</definedName>
    <definedName localSheetId="0" name="MSACCDIL01">#REF!</definedName>
    <definedName name="BLPR3920040303143540863_3_3">#REF!</definedName>
    <definedName name="Qtr_3">#REF!</definedName>
    <definedName name="BLPR2820040303143540843_3_3">#REF!</definedName>
    <definedName name="Title4">#REF!</definedName>
    <definedName name="DFC">#REF!</definedName>
    <definedName name="p_LTM_BS">#REF!</definedName>
    <definedName name="ACCDIL01f20">#REF!</definedName>
    <definedName name="Deal_Case">#REF!</definedName>
    <definedName name="prolinks_c570ec2e046d4a839e09d05e019778ec">#REF!</definedName>
    <definedName name="DERMCASHD">#REF!</definedName>
    <definedName name="IgpmAcum9">#REF!</definedName>
    <definedName name="Labor_Efficiency_Rate_Two">#REF!</definedName>
    <definedName name="_____dcf2">#REF!</definedName>
    <definedName localSheetId="0" name="Questar_Assums2">#REF!</definedName>
    <definedName name="__PBT02">#REF!</definedName>
    <definedName name="salinc3">#REF!</definedName>
    <definedName name="TargNetDebt">#REF!</definedName>
    <definedName localSheetId="0" name="PAGE_5">#REF!</definedName>
    <definedName name="iiiiiiiiiiiiii">#REF!</definedName>
    <definedName name="Mapping_Completed">#REF!</definedName>
    <definedName name="BLPR14320040303143550077_1_1">#REF!</definedName>
    <definedName localSheetId="0" name="exit_date">#REF!</definedName>
    <definedName localSheetId="0" name="MarOn">#REF!</definedName>
    <definedName name="BLPR19920040303143551999_1_1">#REF!</definedName>
    <definedName name="_x20">#REF!</definedName>
    <definedName name="LionBDInvOpinion3LookUp">#REF!</definedName>
    <definedName name="EALCBCR">#REF!</definedName>
    <definedName name="_26__123Graph_ACHART_2">#REF!</definedName>
    <definedName name="DU_10">#REF!</definedName>
    <definedName localSheetId="0" name="APL.FIN">#REF!</definedName>
    <definedName name="rPricePaidC1">#REF!</definedName>
    <definedName name="_bdm.7D0636E8D8BD44CBBA5338621C9EB931.edm">#REF!</definedName>
    <definedName localSheetId="0" name="MarketPrice">#REF!</definedName>
    <definedName name="ac">#REF!</definedName>
    <definedName name="_66__123Graph_DCHART_3">#REF!</definedName>
    <definedName name="Debt_18_4">#REF!</definedName>
    <definedName name="NewTicker">#REF!</definedName>
    <definedName name="wound_lbo">#REF!</definedName>
    <definedName name="DRH">#REF!</definedName>
    <definedName name="BLPR3520040303143540853_2_3">#REF!</definedName>
    <definedName name="__123Graph_CPET">#REF!</definedName>
    <definedName localSheetId="0" name="sales3">#REF!</definedName>
    <definedName localSheetId="0" name="general">#REF!</definedName>
    <definedName name="asas">#REF!</definedName>
    <definedName localSheetId="0" name="Test01">#REF!</definedName>
    <definedName name="Convertible_Preferred_3_2">#REF!</definedName>
    <definedName name="prolinks_001c2af882574a96aa7d9e0eca003e84">#REF!</definedName>
    <definedName name="LBO30d">#REF!</definedName>
    <definedName name="EDA">#REF!</definedName>
    <definedName name="ISS_OFF_LOOP">#REF!</definedName>
    <definedName name="gap_own">#REF!</definedName>
    <definedName name="FDP_3_1_aDrv">#REF!</definedName>
    <definedName name="yr_ago_eps">#REF!</definedName>
    <definedName name="Debt_13_3">#REF!</definedName>
    <definedName name="PERMANENTE">#REF!</definedName>
    <definedName name="Comb.LS.Resultado">#REF!</definedName>
    <definedName name="__lbc5">#REF!</definedName>
    <definedName name="Fiscal_1990">#REF!</definedName>
    <definedName localSheetId="0" name="OPINPRYR">#REF!</definedName>
    <definedName name="_bdm.2EF6EA8B8B054BE4A3F68E9ADA6288AB.edm">#REF!</definedName>
    <definedName name="prolinks_3f971dee45dd410e9e75a551063ac0db">#REF!</definedName>
    <definedName name="Sust_Opex_19">#REF!</definedName>
    <definedName name="Options_and_Warrants_6_4">#REF!</definedName>
    <definedName name="solver_opt">#REF!</definedName>
    <definedName name="GA_Price">#REF!</definedName>
    <definedName name="WIZARD_CURRENTRATING">#REF!</definedName>
    <definedName name="BLPR15520040303143550207">#REF!</definedName>
    <definedName name="sheetlabel">#REF!</definedName>
    <definedName localSheetId="0" name="jjjjjjjjjj">#REF!</definedName>
    <definedName localSheetId="0" name="Capitalization_Summary">#REF!</definedName>
    <definedName name="AprOff">#REF!</definedName>
    <definedName name="ABRSP">#REF!</definedName>
    <definedName name="Exit_Year">#REF!</definedName>
    <definedName name="_bdm.B6F5F3F3405949F8A3EBA33234AF3A01.edm">#REF!</definedName>
    <definedName name="____QTR1">#REF!</definedName>
    <definedName name="CREV01">#REF!</definedName>
    <definedName name="p_FirmValue">#REF!</definedName>
    <definedName name="q499_shares">#REF!</definedName>
    <definedName name="BLPR12820040303143550057_1_1">#REF!</definedName>
    <definedName name="____rev1">#REF!</definedName>
    <definedName name="DSE">#REF!</definedName>
    <definedName localSheetId="0" name="PreTaxNom">#REF!</definedName>
    <definedName name="Cad_DirecObj">#REF!</definedName>
    <definedName name="_bdm.13D01B5C7BDD4BE78A994289869C9B10.edm">#REF!</definedName>
    <definedName name="ipo">#REF!</definedName>
    <definedName name="__lb12">#REF!</definedName>
    <definedName localSheetId="0" name="Percent_Subject_to_Fee">#REF!</definedName>
    <definedName name="MARGIN">#REF!</definedName>
    <definedName localSheetId="0" name="ACCDIL00c">#REF!</definedName>
    <definedName name="NONCPRYR">#REF!</definedName>
    <definedName name="Price_Desktop2014">#REF!</definedName>
    <definedName name="DL">#REF!</definedName>
    <definedName name="BLPR1020040303143540803">#REF!</definedName>
    <definedName name="QTDMSGCIPAtual">#REF!</definedName>
    <definedName name="SING6">#REF!</definedName>
    <definedName name="_x16">#REF!</definedName>
    <definedName name="case3">#REF!</definedName>
    <definedName name="codv_sa">#REF!</definedName>
    <definedName name="MULT982f20">#REF!</definedName>
    <definedName name="Options_and_Warrants_5_2">#REF!</definedName>
    <definedName name="YearID">#REF!</definedName>
    <definedName name="__DCF12">#REF!</definedName>
    <definedName name="AcqCash">#REF!</definedName>
    <definedName name="BlkRegSnd">#REF!</definedName>
    <definedName name="prolinks_ad2f8c1ce7754f629cbb7a7ae40ae67f">#REF!</definedName>
    <definedName localSheetId="0" name="MODULE">#REF!</definedName>
    <definedName localSheetId="0" name="offer">#REF!</definedName>
    <definedName name="Straight_Preferred_6_3">#REF!</definedName>
    <definedName name="captable">#REF!</definedName>
    <definedName name="BLPR12920040303143550057_1_1">#REF!</definedName>
    <definedName name="BLPR7820040303143549976_1_1">#REF!</definedName>
    <definedName name="dpdsrun">#REF!</definedName>
    <definedName localSheetId="0" name="SAREV1">#REF!</definedName>
    <definedName name="_REV03">#REF!</definedName>
    <definedName name="FDP_142_1_aSrv">#REF!</definedName>
    <definedName name="BLPR10420040303143550027">#REF!</definedName>
    <definedName name="M_2">#REF!</definedName>
    <definedName name="BLPR21520040303143552080_1_2">#REF!</definedName>
    <definedName localSheetId="0" name="FACE">#REF!</definedName>
    <definedName name="____FCF6">#REF!</definedName>
    <definedName name="_bdm.8616E117FA4F4559BD74DB412CC068D8.edm">#REF!</definedName>
    <definedName name="BLPH13">#REF!</definedName>
    <definedName name="RES.CM.ESP">#REF!</definedName>
    <definedName name="p_LBO_IPOreturncalcB">#REF!</definedName>
    <definedName name="Q4_94">#REF!</definedName>
    <definedName localSheetId="0" name="BP">#REF!</definedName>
    <definedName name="BLPR1320040303143540813_1_3">#REF!</definedName>
    <definedName name="Price_Desktop2013">#REF!</definedName>
    <definedName name="FDP_68_1_aUrv">#REF!</definedName>
    <definedName name="__x15">#REF!</definedName>
    <definedName name="BLPR5120040303143542095_3_3">#REF!</definedName>
    <definedName name="cashshare">#REF!</definedName>
    <definedName name="DACRPRYR">#REF!</definedName>
    <definedName name="TransCostPercent">#REF!</definedName>
    <definedName name="fxc">#REF!</definedName>
    <definedName name="DCFOUT">#REF!</definedName>
    <definedName name="DilutedShares">#REF!</definedName>
    <definedName name="_____DCF6">#REF!</definedName>
    <definedName name="fxus1">#REF!</definedName>
    <definedName name="BLPR5220040303143542095_3_3">#REF!</definedName>
    <definedName name="NATLFRASSBS">#REF!</definedName>
    <definedName name="TargLTG4">#REF!</definedName>
    <definedName name="OPINFORE">#REF!</definedName>
    <definedName name="price_case">#REF!</definedName>
    <definedName name="__FAT2">#REF!</definedName>
    <definedName name="DATA">#REF!</definedName>
    <definedName name="CIPHist">#REF!</definedName>
    <definedName name="FDP_140_1_aUrv">#REF!</definedName>
    <definedName name="LUCROS.EXERCICIO">#REF!</definedName>
    <definedName name="CF_Non_Cash_Charges">#REF!</definedName>
    <definedName localSheetId="0" name="set">#REF!</definedName>
    <definedName name="Rwvu.Page1.">#REF!</definedName>
    <definedName name="TENDERS">#REF!</definedName>
    <definedName name="_pal1">#REF!</definedName>
    <definedName name="FDP_6_1_aUrv">#REF!</definedName>
    <definedName name="__lb30">#REF!</definedName>
    <definedName name="Convertible_Debt_6_5">#REF!</definedName>
    <definedName name="MODULE4">#REF!</definedName>
    <definedName name="DolFwd">#REF!</definedName>
    <definedName name="_43__123Graph_CCHART_12">#REF!</definedName>
    <definedName name="Building_District">#REF!</definedName>
    <definedName name="s_10">#REF!</definedName>
    <definedName name="BLPH78">#REF!</definedName>
    <definedName localSheetId="0" name="OLEChartName">#REF!</definedName>
    <definedName name="BUNDYWC">#REF!</definedName>
    <definedName name="Straight_Preferred_6_2">#REF!</definedName>
    <definedName name="LionKDXdDateQ4">#REF!</definedName>
    <definedName localSheetId="0" name="__123Graph_ACURRENT">#REF!</definedName>
    <definedName localSheetId="0" name="I.R">#REF!</definedName>
    <definedName name="op_case">#REF!</definedName>
    <definedName name="LionStkResearchOldRevNo1">#REF!</definedName>
    <definedName name="Parent_Company_Dividend">#REF!</definedName>
    <definedName localSheetId="0" name="cse">#REF!</definedName>
    <definedName localSheetId="0" name="Dolar0">#REF!</definedName>
    <definedName name="AVG_COST">#REF!</definedName>
    <definedName name="taxrate">#REF!</definedName>
    <definedName name="SENSITIVITY">#REF!</definedName>
    <definedName localSheetId="0" name="projectname">#REF!</definedName>
    <definedName localSheetId="0" name="network">#REF!</definedName>
    <definedName name="Moeda">#REF!</definedName>
    <definedName name="achart20">#REF!</definedName>
    <definedName name="Debt_5_5">#REF!</definedName>
    <definedName localSheetId="0" name="CEPS00">#REF!</definedName>
    <definedName name="BLPR18120040303143550637_1_2">#REF!</definedName>
    <definedName name="AFIL.REC.ME">#REF!</definedName>
    <definedName localSheetId="0" name="fev">#REF!</definedName>
    <definedName name="CF_Convertible_Preferred">#REF!</definedName>
    <definedName name="rDA10K">#REF!</definedName>
    <definedName name="_bdm.6EDB78A202C046CFAFCB355B15791D8F.edm">#REF!</definedName>
    <definedName name="BLPR4920040303143542085_3_3">#REF!</definedName>
    <definedName name="__FCF4">#REF!</definedName>
    <definedName name="_101__123Graph_XCHART_1">#REF!</definedName>
    <definedName name="FDP_67_1_rUrv">#REF!</definedName>
    <definedName name="MARYWC">#REF!</definedName>
    <definedName name="_____rev1">#REF!</definedName>
    <definedName name="MOLDING">#REF!</definedName>
    <definedName name="BLPR2020040303143540823_3_3">#REF!</definedName>
    <definedName name="_bdm.FD619B2BE6384A92B9B607A3214BB6AD.edm">#REF!</definedName>
    <definedName localSheetId="0" name="cash_sweep">#REF!</definedName>
    <definedName name="BLPR14420040303143550077_1_1">#REF!</definedName>
    <definedName name="Sust_OutrO_21">#REF!</definedName>
    <definedName localSheetId="0" name="AVG_COST">#REF!</definedName>
    <definedName name="rCompanyNames">#REF!</definedName>
    <definedName name="BLPR12620040303143550057">#REF!</definedName>
    <definedName name="Funding_Shares">#REF!</definedName>
    <definedName localSheetId="0" name="QtrDate">#REF!</definedName>
    <definedName name="DJU">#REF!</definedName>
    <definedName name="BLPR18620040303143550738_2_2">#REF!</definedName>
    <definedName name="OutrO_19">#REF!</definedName>
    <definedName name="TESTE2">#REF!</definedName>
    <definedName name="p_football">#REF!</definedName>
    <definedName name="__x28">#REF!</definedName>
    <definedName name="Q1_91">#REF!</definedName>
    <definedName name="_aaa7">#REF!</definedName>
    <definedName name="FDP_91_1_aUrv">#REF!</definedName>
    <definedName localSheetId="0" name="col_values">#REF!</definedName>
    <definedName name="janytd">#REF!</definedName>
    <definedName name="BLPR820040303143540793_3_3">#REF!</definedName>
    <definedName name="BLPH128">#REF!</definedName>
    <definedName name="_____cfs1">#REF!</definedName>
    <definedName name="prolinks_b696642e0a3f442daba3a55e3a9eb8c3">#REF!</definedName>
    <definedName name="qqqqq">#REF!</definedName>
    <definedName name="Other_Provisions">#REF!</definedName>
    <definedName name="rTarget">#REF!</definedName>
    <definedName localSheetId="0" name="BS_Cash">#REF!</definedName>
    <definedName name="FDP_95_1_aUrv">#REF!</definedName>
    <definedName localSheetId="0" name="_10__123Graph_CGROWTH_REVS_B">#REF!</definedName>
    <definedName name="_10__123Graph_LBL_DCHART_1">#REF!</definedName>
    <definedName name="Semicap">#REF!</definedName>
    <definedName localSheetId="0" name="BOVOUT">#REF!</definedName>
    <definedName name="_s5">#REF!</definedName>
    <definedName name="IgpmAcumAno8">#REF!</definedName>
    <definedName name="lboconsol">#REF!</definedName>
    <definedName name="BLPH109">#REF!</definedName>
    <definedName name="Options_and_Warrants_7_4">#REF!</definedName>
    <definedName name="FDP_41_1_aUrv">#REF!</definedName>
    <definedName name="TargValuation">#REF!</definedName>
    <definedName localSheetId="0" name="printquery">#REF!</definedName>
    <definedName name="_bdm.5ABB453627E343C0B063D09E9BC7CCB9.edm">#REF!</definedName>
    <definedName name="__x16">#REF!</definedName>
    <definedName name="MscoInputCell13">#REF!</definedName>
    <definedName localSheetId="0" name="CASH_PAY">#REF!</definedName>
    <definedName name="Page_2">#REF!</definedName>
    <definedName name="BLPR16320040303143550327">#REF!</definedName>
    <definedName localSheetId="0" name="Weight">#REF!</definedName>
    <definedName name="s_13">#REF!</definedName>
    <definedName name="_TTF95">#REF!</definedName>
    <definedName name="__123Graph_AHIALCOOL">#REF!</definedName>
    <definedName name="new_inv">#REF!</definedName>
    <definedName name="_72__123Graph_E_Chart_1A">#REF!</definedName>
    <definedName name="check2">#REF!</definedName>
    <definedName name="PL_SGA">#REF!</definedName>
    <definedName name="BLPR5120040303143542095">#REF!</definedName>
    <definedName localSheetId="0" name="address3">#REF!</definedName>
    <definedName name="_24">#REF!</definedName>
    <definedName name="FDP_125_1_aUrv">#REF!</definedName>
    <definedName name="revinc1">#REF!</definedName>
    <definedName name="Sust_Opex_20">#REF!</definedName>
    <definedName name="pay">#REF!</definedName>
    <definedName name="Debt_17_2">#REF!</definedName>
    <definedName name="_bdm.5E781F3DBDC64F0889D87133763FAA75.edm">#REF!</definedName>
    <definedName localSheetId="0" name="Brooklyn_Penetration_Rate">#REF!</definedName>
    <definedName name="convention">#REF!</definedName>
    <definedName name="Dolar11">#REF!</definedName>
    <definedName name="rCurrentPriceDate">#REF!</definedName>
    <definedName name="prolinks_0608c40e8a4348bf873ce737cda31ef5">#REF!</definedName>
    <definedName name="trim1">#REF!</definedName>
    <definedName name="Straight_Preferred_6_1">#REF!</definedName>
    <definedName name="BLPR17520040303143550527_2_2">#REF!</definedName>
    <definedName localSheetId="0" name="Expense_Summary">#REF!</definedName>
    <definedName name="_bdm.1AD8A2BF624B4C7C9582C74B0BB225A5.edm">#REF!</definedName>
    <definedName name="Comb.LS.Origem">#REF!</definedName>
    <definedName name="CCCCCCCCCC">#REF!</definedName>
    <definedName name="__x9">#REF!</definedName>
    <definedName name="old_1">#REF!</definedName>
    <definedName name="BLPR18820040303143550778_2_2">#REF!</definedName>
    <definedName name="MENSAL2">#REF!</definedName>
    <definedName name="Sust_OutrC_19">#REF!</definedName>
    <definedName name="old_2004_revenue">#REF!</definedName>
    <definedName name="BLPR4920040303143542085">#REF!</definedName>
    <definedName name="__lbc31">#REF!</definedName>
    <definedName name="_bdm.D08B361AC0D94A9A9E9BCE7B6F7BA942.edm">#REF!</definedName>
    <definedName name="Info">#REF!</definedName>
    <definedName localSheetId="0" name="cap">#REF!</definedName>
    <definedName name="FDP_147_1_aUrv">#REF!</definedName>
    <definedName name="_la32">#REF!</definedName>
    <definedName name="PAGE_6">#REF!</definedName>
    <definedName name="__123Graph_BPET">#REF!</definedName>
    <definedName name="IgdiAcumAno5">#REF!</definedName>
    <definedName name="_bdm.31265992848D40F9858CD9B5F8659322.edm">#REF!</definedName>
    <definedName name="StdPreRec">#REF!</definedName>
    <definedName name="_bdm.EF28FFBFA75A4E61BBB76FEFAA7C1A53.edm">#REF!</definedName>
    <definedName name="_bdm.D6029CFF5B4E4220843397CA2E69AABB.edm">#REF!</definedName>
    <definedName name="BLPR820040303143540793_1_3">#REF!</definedName>
    <definedName name="______FCF8">#REF!</definedName>
    <definedName name="_bdm.D8ACD485537F4CC6B586542AC62CA582.edm">#REF!</definedName>
    <definedName name="_____DCF10">#REF!</definedName>
    <definedName name="Choices_Wrapper">#REF!</definedName>
    <definedName name="LUCROS.EXERC">#REF!</definedName>
    <definedName name="BLPR13120040303143550067_1_1">#REF!</definedName>
    <definedName name="BLPR5520040303143542095_1_3">#REF!</definedName>
    <definedName name="Debt_18_5">#REF!</definedName>
    <definedName name="_bdm.E08839B5455345EFBF96CBC09B2D2571.edm">#REF!</definedName>
    <definedName localSheetId="0" name="Q1_87">#REF!</definedName>
    <definedName localSheetId="0" name="eve">#REF!</definedName>
    <definedName name="_bdm.9ECC9651F7324897A08E351AED00FEBB.edm">#REF!</definedName>
    <definedName name="_FCF8">#REF!</definedName>
    <definedName name="_FCF9">#REF!</definedName>
    <definedName name="WIZARD_Y2YEARR">#REF!</definedName>
    <definedName name="CustomIndexDate">#REF!</definedName>
    <definedName name="prolinks_aed397b01000424794431b6fed936272">#REF!</definedName>
    <definedName name="WIZARD_SECULARGROWTHRATE">#REF!</definedName>
    <definedName name="Dolar3">#REF!</definedName>
    <definedName name="cusprd01">#REF!</definedName>
    <definedName name="BLPH96">#REF!</definedName>
    <definedName name="ad">#REF!</definedName>
    <definedName name="_lb16">#REF!</definedName>
    <definedName name="cexp_ltdebt">#REF!</definedName>
    <definedName localSheetId="0" name="CREV01">#REF!</definedName>
    <definedName localSheetId="0" name="CIPHist">#REF!</definedName>
    <definedName name="_83__123Graph_ECHART_6">#REF!</definedName>
    <definedName localSheetId="0" name="rCurrentPriceLocal">#REF!</definedName>
    <definedName name="IgpmAcum10">#REF!</definedName>
    <definedName name="FDP_65_1_aUrv">#REF!</definedName>
    <definedName name="_R">#REF!</definedName>
    <definedName name="MULT982a">#REF!</definedName>
    <definedName name="UsrStdRegRec">#REF!</definedName>
    <definedName name="IgpmAcumAno3">#REF!</definedName>
    <definedName name="FDP_121_1_aUrv">#REF!</definedName>
    <definedName name="LionBDMarketCap">#REF!</definedName>
    <definedName name="divest">#REF!</definedName>
    <definedName name="__lbc14">#REF!</definedName>
    <definedName name="gap_div">#REF!</definedName>
    <definedName name="ACCDIL01a">#REF!</definedName>
    <definedName name="prolinks_2cad75253c3e4373ae9a5d06984582ef">#REF!</definedName>
    <definedName name="valorv_sa">#REF!</definedName>
    <definedName name="HAWK2">#REF!</definedName>
    <definedName name="_lb15">#REF!</definedName>
    <definedName name="Average_Handle_Time_Chat">#REF!</definedName>
    <definedName name="_9">#REF!</definedName>
    <definedName name="_ANO92">#REF!</definedName>
    <definedName name="Q4_90">#REF!</definedName>
    <definedName name="invt_date">#REF!</definedName>
    <definedName name="p_LBO_IPOreturncalcC">#REF!</definedName>
    <definedName name="FDP_143_1_aUrv">#REF!</definedName>
    <definedName name="Average_Handle_Time_Email">#REF!</definedName>
    <definedName name="__ANO79">#REF!</definedName>
    <definedName name="Convertible_Debt_1_2">#REF!</definedName>
    <definedName name="____FCF9">#REF!</definedName>
    <definedName localSheetId="0" name="acq_assum2">#REF!</definedName>
    <definedName localSheetId="0" name="Div2_Name">#REF!</definedName>
    <definedName name="_bdm.F10BB5319BB54604AA8F45F378BF0565.edm">#REF!</definedName>
    <definedName name="IPO_Underpricing">#REF!</definedName>
    <definedName name="Conv">#REF!</definedName>
    <definedName name="LionBDStockCodesLookUp">#REF!</definedName>
    <definedName name="prolinks_d363b8c422cd4f65afe303724902598f">#REF!</definedName>
    <definedName name="Debt_9_4">#REF!</definedName>
    <definedName name="_____row1">#REF!</definedName>
    <definedName name="_125_0Rwvu.Pag">#REF!</definedName>
    <definedName name="BLPR11220040303143550037">#REF!</definedName>
    <definedName name="OUTRASRECEITAS2">#REF!</definedName>
    <definedName localSheetId="0" name="_1">#REF!</definedName>
    <definedName name="TAB_DRIVER">#REF!</definedName>
    <definedName name="cusprd03">#REF!</definedName>
    <definedName name="_aaa10">#REF!</definedName>
    <definedName name="_bdm.22A68D3F60314730B63396D66CFB4CDA.edm">#REF!</definedName>
    <definedName name="c_pageswitch">#REF!</definedName>
    <definedName name="_51__123Graph_CCHART_4">#REF!</definedName>
    <definedName name="Posicao">#REF!</definedName>
    <definedName name="BLPR17520040303143550527_1_2">#REF!</definedName>
    <definedName localSheetId="0" name="PAGE1A">#REF!</definedName>
    <definedName name="MARY_NEW_GW_TAX">#REF!</definedName>
    <definedName name="__DCF9">#REF!</definedName>
    <definedName name="Cwvu.GREY_ALL.">#REF!</definedName>
    <definedName name="BLPH56">#REF!</definedName>
    <definedName name="______ATI2">#REF!</definedName>
    <definedName name="Software">#REF!</definedName>
    <definedName localSheetId="0" name="Min_Utilities">#REF!</definedName>
    <definedName name="OutrO_20">#REF!</definedName>
    <definedName localSheetId="0" name="Minority_Dividends">#REF!</definedName>
    <definedName name="BLPR7220040303143549966_1_1">#REF!</definedName>
    <definedName name="VALORES_5">#REF!</definedName>
    <definedName name="q199_rev">#REF!</definedName>
    <definedName localSheetId="0" name="ACCDIL00d20">#REF!</definedName>
    <definedName localSheetId="0" name="August">#REF!</definedName>
    <definedName name="ADTV">#REF!</definedName>
    <definedName name="DCDElePer2008Q4">#REF!</definedName>
    <definedName name="BS_Investments">#REF!</definedName>
    <definedName name="CONSWCD">#REF!</definedName>
    <definedName name="Dolar4">#REF!</definedName>
    <definedName name="dsdas">#REF!</definedName>
    <definedName name="BLPR19020040303143550818">#REF!</definedName>
    <definedName name="beginning_price">#REF!</definedName>
    <definedName name="Acq05NetInc1">#REF!</definedName>
    <definedName localSheetId="0" name="Closing_Costs">#REF!</definedName>
    <definedName name="Pension_Provisions">#REF!</definedName>
    <definedName name="____DCF12">#REF!</definedName>
    <definedName name="erate">#REF!</definedName>
    <definedName name="BlackWhiteNote">#REF!</definedName>
    <definedName name="Issue_Allocation_Outbound_Service_Call">#REF!</definedName>
    <definedName name="PL_Rent">#REF!</definedName>
    <definedName name="Institutional_MtoB_Sales_Percent">#REF!</definedName>
    <definedName localSheetId="0" name="col">#REF!</definedName>
    <definedName name="PL_Non_Operating_Expenses">#REF!</definedName>
    <definedName name="FDP_98_1_aSrv">#REF!</definedName>
    <definedName name="Price_Analytics2017">#REF!</definedName>
    <definedName name="BLPR11720040303143550047">#REF!</definedName>
    <definedName name="Debt_15_2">#REF!</definedName>
    <definedName name="OPBFPRYR">#REF!</definedName>
    <definedName name="_bdm.FA81265982004778BA7022A13E5DEC4E.edm">#REF!</definedName>
    <definedName localSheetId="0" name="dez">#REF!</definedName>
    <definedName name="_bdm.52D7DEF25C1149AAB09C01589D7812B9.edm">#REF!</definedName>
    <definedName name="BANCOS2">#REF!</definedName>
    <definedName name="WIZARD_Y1Q3R">#REF!</definedName>
    <definedName name="__sem2">#REF!</definedName>
    <definedName name="LEASING1">#REF!</definedName>
    <definedName name="p_Depr5">#REF!</definedName>
    <definedName name="FDP_65_1_aDrv">#REF!</definedName>
    <definedName name="Servidor">#REF!</definedName>
    <definedName name="Forecasted_Origination">#REF!</definedName>
    <definedName name="_bdm.553EB16886454397AFF566833AE7EC11.edm">#REF!</definedName>
    <definedName name="Q2_89">#REF!</definedName>
    <definedName name="MtoC_Wtd_Avg_Order_Size">#REF!</definedName>
    <definedName name="cchart18">#REF!</definedName>
    <definedName name="VALORES_ACUM_4">#REF!</definedName>
    <definedName name="CLMSFORE">#REF!</definedName>
    <definedName name="prolinks_7bdb3cd495d64ebcb61b710af449391e">#REF!</definedName>
    <definedName name="BLPR16720040303143550397">#REF!</definedName>
    <definedName name="prolinks_53cf150674f2454a867b79a28b6cf3b0">#REF!</definedName>
    <definedName name="FDP_67_1_aUrv">#REF!</definedName>
    <definedName name="repurchase">#REF!</definedName>
    <definedName name="p_IncomeStatement">#REF!</definedName>
    <definedName localSheetId="0" name="budgetk94">#REF!</definedName>
    <definedName name="Q4_91">#REF!</definedName>
    <definedName name="_bdm.869D103A184C408DB2539C01B6FDF664.edm">#REF!</definedName>
    <definedName localSheetId="0" name="is">#REF!</definedName>
    <definedName name="fisc_yr">#REF!</definedName>
    <definedName name="_bdm.8F506E83062540A3ADB0BE99A74860D0.edm">#REF!</definedName>
    <definedName name="Assumps_Income">#REF!</definedName>
    <definedName localSheetId="0" name="PREM3">#REF!</definedName>
    <definedName name="qpl_pg2">#REF!</definedName>
    <definedName name="___SUB3">#REF!</definedName>
    <definedName name="BLPR12920040303143550057">#REF!</definedName>
    <definedName name="Base_DespAtrFat">#REF!</definedName>
    <definedName name="_bdm.471C9F39EB4F43D9A997EEDA4FEC9FCA.edm">#REF!</definedName>
    <definedName name="p_DiscretionaryDebt">#REF!</definedName>
    <definedName name="c_proj_switch">#REF!</definedName>
    <definedName name="DRI">#REF!</definedName>
    <definedName name="DERMWCD">#REF!</definedName>
    <definedName name="Processos">#REF!</definedName>
    <definedName name="CAST_YEAR">#REF!</definedName>
    <definedName name="Fluxo8">#REF!</definedName>
    <definedName name="CF_Investments">#REF!</definedName>
    <definedName name="_____cab1">#REF!</definedName>
    <definedName name="exit_date">#REF!</definedName>
    <definedName name="EMBCBUF">#REF!</definedName>
    <definedName name="Buy_Wach">#REF!</definedName>
    <definedName localSheetId="0" name="Assumps_Balance_Sheet">#REF!</definedName>
    <definedName name="seniorAspread">#REF!</definedName>
    <definedName name="_bdm.1D650D40C130477FA41993767E35604D.edm">#REF!</definedName>
    <definedName name="WIZARD_BOOKVALUEPERSHARE">#REF!</definedName>
    <definedName localSheetId="0" name="DDS">#REF!</definedName>
    <definedName name="_DCF3">#REF!</definedName>
    <definedName name="rXRate">#REF!</definedName>
    <definedName name="_bdm.C0D504E0853A4DCF874B367CDADA6082.edm">#REF!</definedName>
    <definedName name="CIPAtual">#REF!</definedName>
    <definedName name="Price_Worflow2013">#REF!</definedName>
    <definedName name="prolinks_dc48103feffe45d4a5896835b796b099">#REF!</definedName>
    <definedName name="_bdm.BF7DCFD989AE4062B97308E0EA4E6116.edm">#REF!</definedName>
    <definedName localSheetId="0" name="_8__123Graph_BGROWTH_REVS_B">#REF!</definedName>
    <definedName name="TH">#REF!</definedName>
    <definedName name="Debt_1_1">#REF!</definedName>
    <definedName localSheetId="0" name="DRH">#REF!</definedName>
    <definedName name="FDP_113_1_aUrv">#REF!</definedName>
    <definedName name="Debt_1_4">#REF!</definedName>
    <definedName name="DiscountYears">#REF!</definedName>
    <definedName name="FDP_149_1_aUrv">#REF!</definedName>
    <definedName localSheetId="0" name="IPO_Underpricing">#REF!</definedName>
    <definedName name="BLPH138">#REF!</definedName>
    <definedName name="LBO_PRICE">#REF!</definedName>
    <definedName name="yyy">#REF!</definedName>
    <definedName name="BLPR9420040303143550007_1_1">#REF!</definedName>
    <definedName name="BLPR420040303143540783_2_3">#REF!</definedName>
    <definedName localSheetId="0" name="LastPrice">#REF!</definedName>
    <definedName name="p_DCF5">#REF!</definedName>
    <definedName name="_125_0__123Graph_ACHAR">#REF!</definedName>
    <definedName name="_bdm.C489C9B15D7342A2A4E3500BF19B86F9.edm">#REF!</definedName>
    <definedName localSheetId="0" name="DN">#REF!</definedName>
    <definedName name="Price_Registration2015">#REF!</definedName>
    <definedName name="_DCF10">#REF!</definedName>
    <definedName name="prolinks_bf7ca8ef89334400a6389d3529f71f9c">#REF!</definedName>
    <definedName name="_31__123Graph_AChart_4">#REF!</definedName>
    <definedName name="_37__123Graph_BCHART_3">#REF!</definedName>
    <definedName name="Net_Working_Capital">#REF!</definedName>
    <definedName name="_bdm.BEA7D2A4EF3B4E32B3FE4F6541AFFD78.edm">#REF!</definedName>
    <definedName name="BLPR3220040303143540853_2_3">#REF!</definedName>
    <definedName name="_5">#REF!</definedName>
    <definedName name="p_DCF">#REF!</definedName>
    <definedName name="__la31">#REF!</definedName>
    <definedName name="BLPH57">#REF!</definedName>
    <definedName localSheetId="0" name="AVGLIFE">#REF!</definedName>
    <definedName name="PAGE_5">#REF!</definedName>
    <definedName name="MULT981d">#REF!</definedName>
    <definedName name="BLPR9920040303143550017_1_1">#REF!</definedName>
    <definedName name="PeriodID">#REF!</definedName>
    <definedName name="prolinks_459f2d93a5254f1cb77b55e7799b1bfa">#REF!</definedName>
    <definedName name="sharesout">#REF!</definedName>
    <definedName name="BLPH19">#REF!</definedName>
    <definedName localSheetId="0" name="JUAREZ">#REF!</definedName>
    <definedName name="fxus2">#REF!</definedName>
    <definedName name="RES.LUCROS.AC">#REF!</definedName>
    <definedName localSheetId="0" name="_7__123Graph_BGROWTH_REVS_A">#REF!</definedName>
    <definedName name="_bdm.4399EF5223764DBD8376E1CCF8F82F60.edm">#REF!</definedName>
    <definedName name="______FCF3">#REF!</definedName>
    <definedName name="qwewqe">#REF!</definedName>
    <definedName name="BLPH173">#REF!</definedName>
    <definedName localSheetId="0" name="Comparison">#REF!</definedName>
    <definedName name="JUAREZ">#REF!</definedName>
    <definedName name="_lb28">#REF!</definedName>
    <definedName name="ACCDIL99f20">#REF!</definedName>
    <definedName name="_bdm.4091EB9904444978BB50097FF5585699.edm">#REF!</definedName>
    <definedName localSheetId="0" name="DOP">#REF!</definedName>
    <definedName name="___dcf2">#REF!</definedName>
    <definedName name="Debt_8_5">#REF!</definedName>
    <definedName name="Attn_name">#REF!</definedName>
    <definedName name="DE_PARA">#REF!</definedName>
    <definedName name="_EPS03">#REF!</definedName>
    <definedName name="ACCDIL00e40">#REF!</definedName>
    <definedName name="___ANO75">#REF!</definedName>
    <definedName name="Cash5">#REF!</definedName>
    <definedName name="Manhattan_Zone5_Penetration_Rate">#REF!</definedName>
    <definedName name="Current_Fiscal_Year">#REF!</definedName>
    <definedName name="Entrada">#REF!</definedName>
    <definedName name="BLPH30">#REF!</definedName>
    <definedName name="IpcaAcumAno0">#REF!</definedName>
    <definedName name="Q2_87">#REF!</definedName>
    <definedName localSheetId="0" name="switch">#REF!</definedName>
    <definedName localSheetId="0" name="Selling">#REF!</definedName>
    <definedName name="___FAT2">#REF!</definedName>
    <definedName name="_bdm.D072251A95184D6797E4334B94EFFA1D.edm">#REF!</definedName>
    <definedName name="LionKeyDates">#REF!</definedName>
    <definedName name="CONS_Percent">#REF!</definedName>
    <definedName localSheetId="0" name="projnum">#REF!</definedName>
    <definedName localSheetId="0" name="con">#REF!</definedName>
    <definedName name="_bdm.4EC658AB58D54810AFB138208C612913.edm">#REF!</definedName>
    <definedName name="__rev1">#REF!</definedName>
    <definedName name="p_Assump">#REF!</definedName>
    <definedName name="lbla21">#REF!</definedName>
    <definedName name="Fiscal_1987">#REF!</definedName>
    <definedName name="Price_Portal2016">#REF!</definedName>
    <definedName name="New_Customer_Retention_Rate">#REF!</definedName>
    <definedName name="case">#REF!</definedName>
    <definedName name="WIZARD_Y3Q4E">#REF!</definedName>
    <definedName name="rShares2001">#REF!</definedName>
    <definedName name="Q2_93">#REF!</definedName>
    <definedName name="JULVIN">#REF!</definedName>
    <definedName name="casestats3">#REF!</definedName>
    <definedName name="prolinks_b8115e99dd804e0395d5b7992872fbae">#REF!</definedName>
    <definedName name="BLPR1420040303143540813_1_3">#REF!</definedName>
    <definedName name="BLPR3320040303143540853_2_3">#REF!</definedName>
    <definedName name="Convertible_Debt_1_1">#REF!</definedName>
    <definedName name="LookUpRange">#REF!</definedName>
    <definedName name="_aaa4">#REF!</definedName>
    <definedName name="BLPR3620040303143540863_2_3">#REF!</definedName>
    <definedName name="PreTaxRealImp">#REF!</definedName>
    <definedName name="____cab1">#REF!</definedName>
    <definedName name="_sem2">#REF!</definedName>
    <definedName name="Dolar0">#REF!</definedName>
    <definedName name="Straight_Preferred_3_2">#REF!</definedName>
    <definedName name="FDP_56_1_aUrv">#REF!</definedName>
    <definedName name="BS_Provisions">#REF!</definedName>
    <definedName name="InLineRng">#REF!</definedName>
    <definedName name="Marketing">#REF!</definedName>
    <definedName name="BLPR20420040303143552009_1_1">#REF!</definedName>
    <definedName name="p_LBO_Tax">#REF!</definedName>
    <definedName name="cchart27">#REF!</definedName>
    <definedName name="_bdm.B98C225F10424ED2AF905B9B6CB59667.edm">#REF!</definedName>
    <definedName name="Price_Registration2014">#REF!</definedName>
    <definedName localSheetId="0" name="PerfModel">#REF!</definedName>
    <definedName localSheetId="0" name="CurrentSO">#REF!</definedName>
    <definedName name="NATLDEBTSCAN">#REF!</definedName>
    <definedName name="PL_COGS">#REF!</definedName>
    <definedName name="_bdm.408819E693C445CABC2AE57597E50A0E.edm">#REF!</definedName>
    <definedName localSheetId="0" name="ACCDIL00b">#REF!</definedName>
    <definedName name="prolinks_a3763a0410f345f3af4e43d69cc96549">#REF!</definedName>
    <definedName localSheetId="0" name="MEDIA_CAD">#REF!</definedName>
    <definedName name="_bdm.2138DE9911F64C9AB9CB3F2946EEAC34.edm">#REF!</definedName>
    <definedName localSheetId="0" name="Support">#REF!</definedName>
    <definedName name="Stock2">#REF!</definedName>
    <definedName name="MAISP">#REF!</definedName>
    <definedName localSheetId="0" name="Year_End_Net_Cash____Debt">#REF!</definedName>
    <definedName name="IgpmAcumAno1">#REF!</definedName>
    <definedName name="FDP_109_1_aDrv">#REF!</definedName>
    <definedName name="own_case">#REF!</definedName>
    <definedName name="NATLRCP">#REF!</definedName>
    <definedName name="BLPR18920040303143550798_1_2">#REF!</definedName>
    <definedName name="Fees">#REF!</definedName>
    <definedName name="TargPfrdStock">#REF!</definedName>
    <definedName name="BLPR1620040303143540813_1_3">#REF!</definedName>
    <definedName name="_10">#REF!</definedName>
    <definedName localSheetId="0" name="CONSWCD">#REF!</definedName>
    <definedName name="EndDate3">#REF!</definedName>
    <definedName name="costinc2">#REF!</definedName>
    <definedName name="XXX">#REF!</definedName>
    <definedName name="__aaa16">#REF!</definedName>
    <definedName name="q4_97">#REF!</definedName>
    <definedName name="Base_IRCS">#REF!</definedName>
    <definedName name="_x17">#REF!</definedName>
    <definedName name="ACCDILc">#REF!</definedName>
    <definedName name="Price_Analytics">#REF!</definedName>
    <definedName name="Indice03">#REF!</definedName>
    <definedName name="ANNUALRECAP">#REF!</definedName>
    <definedName name="___ATI2">#REF!</definedName>
    <definedName localSheetId="0" name="trim1">#REF!</definedName>
    <definedName name="p_LBO_Operating">#REF!</definedName>
    <definedName name="BLPR17720040303143550557_2_2">#REF!</definedName>
    <definedName name="BLPR12620040303143550057_1_1">#REF!</definedName>
    <definedName name="Rec_24">#REF!</definedName>
    <definedName name="DataAdjust">#REF!</definedName>
    <definedName name="MULT991f">#REF!</definedName>
    <definedName name="__lbc11">#REF!</definedName>
    <definedName localSheetId="0" name="__pal1">#REF!</definedName>
    <definedName localSheetId="0" name="recap">#REF!</definedName>
    <definedName localSheetId="0" name="VALMAT">#REF!</definedName>
    <definedName localSheetId="0" name="PROJGRAPH">#REF!</definedName>
    <definedName name="DIARIO1E">#REF!</definedName>
    <definedName name="FDP_87_1_aUrv">#REF!</definedName>
    <definedName name="__hys1">#REF!</definedName>
    <definedName name="_lbc8">#REF!</definedName>
    <definedName name="wc">#REF!</definedName>
    <definedName name="IgdiAcumAno0">#REF!</definedName>
    <definedName localSheetId="0" name="PricePrint">#REF!</definedName>
    <definedName name="PAGE1A">#REF!</definedName>
    <definedName name="Cash3">#REF!</definedName>
    <definedName name="won">#REF!</definedName>
    <definedName name="_bdm.D599C0D51D0E4D7B85839CA60093D87F.edm">#REF!</definedName>
    <definedName name="codpdd_sa">#REF!</definedName>
    <definedName name="Selic4">#REF!</definedName>
    <definedName name="ACCDIL99f30">#REF!</definedName>
    <definedName name="MARVIN">#REF!</definedName>
    <definedName name="__123Graph_XTOL">#REF!</definedName>
    <definedName name="backup">#REF!</definedName>
    <definedName name="achar18">#REF!</definedName>
    <definedName name="___QTR1">#REF!</definedName>
    <definedName name="_ANN1">#REF!</definedName>
    <definedName name="_bdm.C5F236DC4C6740838557077DBD9ECAB1.edm">#REF!</definedName>
    <definedName name="FINANC.AF">#REF!</definedName>
    <definedName name="prolinks_4c90de14224741fe89aec633c71c7871">#REF!</definedName>
    <definedName name="Convertible_Debt_4_1">#REF!</definedName>
    <definedName name="FDP_15_1_aDrv">#REF!</definedName>
    <definedName name="_bdm.29B5EA8DC58941CFA489279DA4444727.edm">#REF!</definedName>
    <definedName name="CliPdrPre">#REF!</definedName>
    <definedName name="IMPGSD">#REF!</definedName>
    <definedName name="AcqPfrdStock">#REF!</definedName>
    <definedName name="CXPRICE">#REF!</definedName>
    <definedName name="LionBDADRPrcObjCurrency">#REF!</definedName>
    <definedName localSheetId="0" name="DIARIO1B">#REF!</definedName>
    <definedName name="Debt_5_3">#REF!</definedName>
    <definedName name="BLPR12520040303143550057_1_1">#REF!</definedName>
    <definedName name="PL_Amortization">#REF!</definedName>
    <definedName name="DACLPRYR">#REF!</definedName>
    <definedName name="_GSRATESR_4">#REF!</definedName>
    <definedName name="BLPR10220040303143550017_1_1">#REF!</definedName>
    <definedName localSheetId="0" name="valor_arren">#REF!</definedName>
    <definedName localSheetId="0" name="UsrStdRegRec">#REF!</definedName>
    <definedName name="__FCF9">#REF!</definedName>
    <definedName name="cexp">#REF!</definedName>
    <definedName name="cod_credvsa">#REF!</definedName>
    <definedName name="Rec_19">#REF!</definedName>
    <definedName name="_____DCF4">#REF!</definedName>
    <definedName name="prolinks_0277f53291384eada679c99b8d7c9192">#REF!</definedName>
    <definedName name="BLPR15420040303143550087_1_1">#REF!</definedName>
    <definedName name="lbla10">#REF!</definedName>
    <definedName name="s_20">#REF!</definedName>
    <definedName name="DATA3">#REF!</definedName>
    <definedName name="BLPR4720040303143540893">#REF!</definedName>
    <definedName name="EMBIADCR">#REF!</definedName>
    <definedName localSheetId="0" name="Hardware">#REF!</definedName>
    <definedName name="_bdm.2A6A483A79C74371AC42DE5CDF043603.edm">#REF!</definedName>
    <definedName name="BLPR12320040303143550047">#REF!</definedName>
    <definedName localSheetId="0" name="ALL">#REF!</definedName>
    <definedName name="FDP_13_1_aDrv">#REF!</definedName>
    <definedName name="DDR">#REF!</definedName>
    <definedName name="BLPR1720040303143540823_1_3">#REF!</definedName>
    <definedName name="SM_Allocation_Detail">#REF!</definedName>
    <definedName name="NATLFRANFEE">#REF!</definedName>
    <definedName localSheetId="0" name="TickerCell">#REF!</definedName>
    <definedName name="_bdm.ED371748F146409583366CC7BC089E23.edm">#REF!</definedName>
    <definedName name="BLPH117">#REF!</definedName>
    <definedName name="Base_DespOpAjustada">#REF!</definedName>
    <definedName name="DPS__DM__Pref">#REF!</definedName>
    <definedName localSheetId="0" name="ptp">#REF!</definedName>
    <definedName name="Cell_Errors">#REF!</definedName>
    <definedName name="FDP_62_1_aUrv">#REF!</definedName>
    <definedName localSheetId="0" name="MARYCASH">#REF!</definedName>
    <definedName name="BLPH149">#REF!</definedName>
    <definedName name="ACUMSP">#REF!</definedName>
    <definedName name="Total_Orders">#REF!</definedName>
    <definedName name="BLPR13820040303143550077_1_1">#REF!</definedName>
    <definedName localSheetId="0" name="FreezeCell">#REF!</definedName>
    <definedName localSheetId="0" name="ing">#REF!</definedName>
    <definedName name="_bdm.4EE9BFC7FCAF488E93724186A3E65D70.edm">#REF!</definedName>
    <definedName localSheetId="0" name="Net_Profit_after_Minorities">#REF!</definedName>
    <definedName name="__x17">#REF!</definedName>
    <definedName name="ACwvu.PLANILHA2.">#REF!</definedName>
    <definedName name="BLPH106">#REF!</definedName>
    <definedName name="BLPR7320040303143549976_1_1">#REF!</definedName>
    <definedName name="LionBasicData">#REF!</definedName>
    <definedName name="DLI">#REF!</definedName>
    <definedName name="IRR2016_Argiloso">#REF!</definedName>
    <definedName name="Blank7">#REF!</definedName>
    <definedName name="bchart30">#REF!</definedName>
    <definedName localSheetId="0" name="IMAGERUN">#REF!</definedName>
    <definedName name="RevenueY2">#REF!</definedName>
    <definedName name="RATE_MASTER">#REF!</definedName>
    <definedName localSheetId="0" name="ofis_stdebt">#REF!</definedName>
    <definedName name="April">#REF!</definedName>
    <definedName name="cchart9">#REF!</definedName>
    <definedName name="SeniorA">#REF!</definedName>
    <definedName name="BLPR18220040303143550657_1_2">#REF!</definedName>
    <definedName name="__lbc2">#REF!</definedName>
    <definedName name="Options_and_Warrants_3_2">#REF!</definedName>
    <definedName localSheetId="0" name="Stock2">#REF!</definedName>
    <definedName localSheetId="0" name="CF_Deferred_Taxes">#REF!</definedName>
    <definedName name="TAB_DENOMINADOR">#REF!</definedName>
    <definedName name="BS_AP">#REF!</definedName>
    <definedName name="strike">#REF!</definedName>
    <definedName name="_FCF6">#REF!</definedName>
    <definedName name="__lb18">#REF!</definedName>
    <definedName localSheetId="0" name="airfar">#REF!</definedName>
    <definedName name="___ANO82">#REF!</definedName>
    <definedName name="BLPH136">#REF!</definedName>
    <definedName localSheetId="0" name="rEBIT10K">#REF!</definedName>
    <definedName name="TransCostYears">#REF!</definedName>
    <definedName name="__lbc15">#REF!</definedName>
    <definedName name="LionBDADRPriceObj">#REF!</definedName>
    <definedName name="IMP.RENDA">#REF!</definedName>
    <definedName name="October">#REF!</definedName>
    <definedName localSheetId="0" name="bs">#REF!</definedName>
    <definedName name="BLPR2420040303143540833_1_3">#REF!</definedName>
    <definedName localSheetId="0" name="Eupro">#REF!</definedName>
    <definedName name="BLPH131">#REF!</definedName>
    <definedName name="BLPH147">#REF!</definedName>
    <definedName name="Businessunits">#REF!</definedName>
    <definedName name="rPreTaxSynergiesLocal">#REF!</definedName>
    <definedName name="BLPR17820040303143550577">#REF!</definedName>
    <definedName name="IgpmAcum11">#REF!</definedName>
    <definedName localSheetId="0" name="_20_Jul_94">#REF!</definedName>
    <definedName name="____FCF2">#REF!</definedName>
    <definedName name="warrant">#REF!</definedName>
    <definedName name="BLPH174">#REF!</definedName>
    <definedName name="CurrentYear">#REF!</definedName>
    <definedName name="Integration">#REF!</definedName>
    <definedName name="BLPH21">#REF!</definedName>
    <definedName name="FDP_14_1_aSrv">#REF!</definedName>
    <definedName localSheetId="0" name="PL_Convertible_Interest">#REF!</definedName>
    <definedName name="_bdm.981F2536C8874A2E99993C9FEE10597B.edm">#REF!</definedName>
    <definedName name="_42__123Graph_CCHART_11">#REF!</definedName>
    <definedName name="cod_outcredn">#REF!</definedName>
    <definedName name="FDP_72_1_aSrv">#REF!</definedName>
    <definedName localSheetId="0" name="mgmt_div">#REF!</definedName>
    <definedName localSheetId="0" name="_bdm.6F9DACD75D6D4FDC854C0FAECA5EC329.edm">#REF!</definedName>
    <definedName name="base3">#REF!</definedName>
    <definedName name="_bdm.DFD11871DCB44F8EA0C96E964C1F62DA.edm">#REF!</definedName>
    <definedName name="IPCA">#REF!</definedName>
    <definedName name="LionBDChangeReasonLookUp">#REF!</definedName>
    <definedName name="CurrencyCell">#REF!</definedName>
    <definedName name="yearend">#REF!</definedName>
    <definedName name="Straight_Preferred_5_3">#REF!</definedName>
    <definedName name="STMATRIX3">#REF!</definedName>
    <definedName name="__la29">#REF!</definedName>
    <definedName name="_la9">#REF!</definedName>
    <definedName name="____EPS03">#REF!</definedName>
    <definedName name="OctOff">#REF!</definedName>
    <definedName name="s_22">#REF!</definedName>
    <definedName name="CASTBSD">#REF!</definedName>
    <definedName name="_lbc23">#REF!</definedName>
    <definedName name="______SUB2">#REF!</definedName>
    <definedName name="prolinks_58d5a2c71c68430f9510a9c1faa1161d">#REF!</definedName>
    <definedName name="rPricePaidA2">#REF!</definedName>
    <definedName name="LBO40e">#REF!</definedName>
    <definedName name="_bdm.AB359A75797D4AD8BD2335289881F73A.edm">#REF!</definedName>
    <definedName name="MscoInputCell7">#REF!</definedName>
    <definedName name="prolinks_ff8e7ecf905d4f2bad07273d58c899f9">#REF!</definedName>
    <definedName name="VALORES_ACUM_1">#REF!</definedName>
    <definedName name="_lbc9">#REF!</definedName>
    <definedName localSheetId="0" name="December">#REF!</definedName>
    <definedName name="____DCF11">#REF!</definedName>
    <definedName name="FDP_70_1_aSrv">#REF!</definedName>
    <definedName localSheetId="0" name="TbTipoMoeda">#REF!</definedName>
    <definedName name="BLPR15320040303143550087">#REF!</definedName>
    <definedName name="BLPR16220040303143550317">#REF!</definedName>
    <definedName name="IpcaAcum4">#REF!</definedName>
    <definedName name="Eligible_Appraisal">#REF!</definedName>
    <definedName name="_bdm.FB9079A09E0643998A5BDC5A3D7A6FB6.edm">#REF!</definedName>
    <definedName name="BLPR13920040303143550077_1_1">#REF!</definedName>
    <definedName name="BLPR8620040303143549997_1_1">#REF!</definedName>
    <definedName name="BLPR4020040303143540873_3_3">#REF!</definedName>
    <definedName name="BLPR15020040303143550087_1_1">#REF!</definedName>
    <definedName name="ENDOBSD">#REF!</definedName>
    <definedName localSheetId="0" name="priceList070203fwd">#REF!</definedName>
    <definedName name="FDP_128_1_aUrv">#REF!</definedName>
    <definedName name="BLPR8520040303143549987_1_1">#REF!</definedName>
    <definedName name="conta">#REF!</definedName>
    <definedName name="VALORES_3">#REF!</definedName>
    <definedName name="cal99_rev">#REF!</definedName>
    <definedName name="__FCF2">#REF!</definedName>
    <definedName name="BLPR16020040303143550287">#REF!</definedName>
    <definedName localSheetId="0" name="CONBUD">#REF!</definedName>
    <definedName name="cchart29">#REF!</definedName>
    <definedName name="Assumps_Balance_Sheet">#REF!</definedName>
    <definedName localSheetId="0" name="SAFRA">#REF!</definedName>
    <definedName name="prolinks_f40f8ace04c14adf9c0a20948a0ccefa">#REF!</definedName>
    <definedName name="_bdm.AE096A554138464894D3AC545335E59F.edm">#REF!</definedName>
    <definedName name="cusprd05">#REF!</definedName>
    <definedName localSheetId="0" name="div1_name">#REF!</definedName>
    <definedName name="_LBO1">#REF!</definedName>
    <definedName localSheetId="0" name="INSTALL_CAD">#REF!</definedName>
    <definedName localSheetId="0" name="RUNTIME">#REF!</definedName>
    <definedName name="CORPHEAD">#REF!</definedName>
    <definedName name="Q4_89">#REF!</definedName>
    <definedName name="q397_rev">#REF!</definedName>
    <definedName name="___ANN1">#REF!</definedName>
    <definedName name="____EPS02">#REF!</definedName>
    <definedName name="BLPR20020040303143551999">#REF!</definedName>
    <definedName name="_TTF92">#REF!</definedName>
    <definedName name="___SUB4">#REF!</definedName>
    <definedName name="IpcaAcum1">#REF!</definedName>
    <definedName name="BLPR3820040303143540863_3_3">#REF!</definedName>
    <definedName name="rPricePaidD1">#REF!</definedName>
    <definedName name="_rev2">#REF!</definedName>
    <definedName name="CliBlkPre">#REF!</definedName>
    <definedName name="____SUB4">#REF!</definedName>
    <definedName name="q198_ni">#REF!</definedName>
    <definedName name="BLPR19320040303143550878">#REF!</definedName>
    <definedName name="recl.traba">#REF!</definedName>
    <definedName localSheetId="0" name="Average_Handle_Time_Inbound_Service_Call">#REF!</definedName>
    <definedName name="StartPISCS">#REF!</definedName>
    <definedName name="Goodwill4">#REF!</definedName>
    <definedName name="_lb25">#REF!</definedName>
    <definedName name="INF">#REF!</definedName>
    <definedName name="Debt_10_1">#REF!</definedName>
    <definedName name="Disposals">#REF!</definedName>
    <definedName name="COR_Summary">#REF!</definedName>
    <definedName name="Base_ReceitaBruta">#REF!</definedName>
    <definedName name="Stock1">#REF!</definedName>
    <definedName localSheetId="0" name="CF_Capex">#REF!</definedName>
    <definedName name="prolinks_5394606696a246958578926e86b1d16c">#REF!</definedName>
    <definedName name="AUMENTO.PL.EQUIV">#REF!</definedName>
    <definedName name="OMEDCASHD">#REF!</definedName>
    <definedName name="ir_perpetuo">#REF!</definedName>
    <definedName name="q2_98">#REF!</definedName>
    <definedName name="_GSRATESR_7">#REF!</definedName>
    <definedName name="Processos_Industriais">#REF!</definedName>
    <definedName name="PeriodId2">#REF!</definedName>
    <definedName name="_92__123Graph_FCHART_14">#REF!</definedName>
    <definedName name="_104__123Graph_XCHART_23">#REF!</definedName>
    <definedName name="PERFORMANCE">#REF!</definedName>
    <definedName name="__lb13">#REF!</definedName>
    <definedName name="Base_MaisValia">#REF!</definedName>
    <definedName name="BLPR21420040303143552019">#REF!</definedName>
    <definedName name="IVESWC">#REF!</definedName>
    <definedName name="Convertible_Debt_3_4">#REF!</definedName>
    <definedName name="__lb27">#REF!</definedName>
    <definedName localSheetId="0" name="DATA">#REF!</definedName>
    <definedName localSheetId="0" name="PREF_ON">#REF!</definedName>
    <definedName name="LionBDStockCode">#REF!</definedName>
    <definedName name="prolinks_522d6ce122cb4397bde78bbc36b907d7">#REF!</definedName>
    <definedName name="FDP_88_1_aUrv">#REF!</definedName>
    <definedName localSheetId="0" name="cashofferprice">#REF!</definedName>
    <definedName name="___row2">#REF!</definedName>
    <definedName name="_bdm.374A37F6D3FD4A19BCF5785CA1A70C79.edm">#REF!</definedName>
    <definedName name="BLPR12520040303143550057">#REF!</definedName>
    <definedName name="Total_MtoC_Orders">#REF!</definedName>
    <definedName name="AcqBook">#REF!</definedName>
    <definedName name="STMATRIX5">#REF!</definedName>
    <definedName name="DIVPRO">#REF!</definedName>
    <definedName name="CFD">#REF!</definedName>
    <definedName name="BLPR4820040303143540893_3_3">#REF!</definedName>
    <definedName name="Crng_Portrait">#REF!</definedName>
    <definedName name="EMB">#REF!</definedName>
    <definedName name="BLPR1920040303143540823_1_3">#REF!</definedName>
    <definedName name="Debt_2_1">#REF!</definedName>
    <definedName name="ISS_OFF_RUN">#REF!</definedName>
    <definedName name="Debt_7_1">#REF!</definedName>
    <definedName name="fy99_ni">#REF!</definedName>
    <definedName name="pfbs">#REF!</definedName>
    <definedName name="DeParaHistórico">#REF!</definedName>
    <definedName localSheetId="0" name="InLineRng">#REF!</definedName>
    <definedName name="WORKING_CAPITAL_LINE_OF_CREDIT">#REF!</definedName>
    <definedName name="BLPR18020040303143550617_1_2">#REF!</definedName>
    <definedName name="IgdiAcumAno9">#REF!</definedName>
    <definedName name="__ANO95">#REF!</definedName>
    <definedName name="BLPR21620040303143552110_2_2">#REF!</definedName>
    <definedName localSheetId="0" name="NONCFORE">#REF!</definedName>
    <definedName name="FDP_14_1_aDrv">#REF!</definedName>
    <definedName name="VolumeComplement">#REF!</definedName>
    <definedName name="IpcaAcum8">#REF!</definedName>
    <definedName name="BLPR6620040303143548134_1_2">#REF!</definedName>
    <definedName name="BLPR4320040303143540873_1_3">#REF!</definedName>
    <definedName name="BLPR16520040303143550357">#REF!</definedName>
    <definedName name="FDP_31_1_aDrv">#REF!</definedName>
    <definedName name="FDP_149_1_aSrv">#REF!</definedName>
    <definedName name="DRCA">#REF!</definedName>
    <definedName name="Selic2">#REF!</definedName>
    <definedName name="OHL">#REF!</definedName>
    <definedName name="___SUB1">#REF!</definedName>
    <definedName name="FDP_141_1_aUrv">#REF!</definedName>
    <definedName name="______SUB6">#REF!</definedName>
    <definedName name="Straight_Preferred_1_1">#REF!</definedName>
    <definedName name="BLPR21220040303143552009">#REF!</definedName>
    <definedName name="financials1">#REF!</definedName>
    <definedName name="____PBT03">#REF!</definedName>
    <definedName name="DAR">#REF!</definedName>
    <definedName name="FDP_135_1_aDrv">#REF!</definedName>
    <definedName name="__123Graph_XCURRENT">#REF!</definedName>
    <definedName name="DATEANTERIOR">#REF!</definedName>
    <definedName name="_bdm.BFC2D746790941A7AD09CFCCEE6FE652.edm">#REF!</definedName>
    <definedName name="govtbonds">#REF!</definedName>
    <definedName localSheetId="0" name="JOE">#REF!</definedName>
    <definedName localSheetId="0" name="_REV02">#REF!</definedName>
    <definedName name="ENTERPRISE_VALUE">#REF!</definedName>
    <definedName name="Convertible_Preferred_3_3">#REF!</definedName>
    <definedName name="LBOCASH">#REF!</definedName>
    <definedName name="Convertible_Debt_4_4">#REF!</definedName>
    <definedName name="_14">#REF!</definedName>
    <definedName name="Convertible_Debt_4_5">#REF!</definedName>
    <definedName name="BLPR4220040303143540873">#REF!</definedName>
    <definedName name="BLPR18720040303143550758">#REF!</definedName>
    <definedName name="DSU">#REF!</definedName>
    <definedName name="aaaaaaaaaa">#REF!</definedName>
    <definedName name="Avg_Weekly_Order_Size_New">#REF!</definedName>
    <definedName name="Estrutura">#REF!</definedName>
    <definedName name="wwwww">#REF!</definedName>
    <definedName name="CentrosDeCustos">#REF!</definedName>
    <definedName name="SCIA">#REF!</definedName>
    <definedName localSheetId="0" name="CZ">#REF!</definedName>
    <definedName name="GRAPH1">#REF!</definedName>
    <definedName name="_114_0__123Graph_CCHAR">#REF!</definedName>
    <definedName localSheetId="0" name="Montly_Date_Header">#REF!</definedName>
    <definedName name="contribuição">#REF!</definedName>
    <definedName localSheetId="0" name="_ANN1">#REF!</definedName>
    <definedName name="pipe">#REF!</definedName>
    <definedName name="_55__123Graph_CCHART_9">#REF!</definedName>
    <definedName name="CompRange1Main">#REF!</definedName>
    <definedName localSheetId="0" name="DeParaHistórico">#REF!</definedName>
    <definedName name="LionBDWorksheetName">#REF!</definedName>
    <definedName name="FDP_57_1_rUrv">#REF!</definedName>
    <definedName name="AugOn">#REF!</definedName>
    <definedName name="BLPR22220040303143552260_1_2">#REF!</definedName>
    <definedName name="BLPH115">#REF!</definedName>
    <definedName name="BLENDED">#REF!</definedName>
    <definedName name="_TSU91">#REF!</definedName>
    <definedName name="_17">#REF!</definedName>
    <definedName name="achart17">#REF!</definedName>
    <definedName name="IpcaAcumAno8">#REF!</definedName>
    <definedName name="BLPR9520040303143550007">#REF!</definedName>
    <definedName localSheetId="0" name="CIPAtual">#REF!</definedName>
    <definedName name="_bdm.D3FBDFDF277448B097B4BD556328CB4F.edm">#REF!</definedName>
    <definedName name="Crng_Normal">#REF!</definedName>
    <definedName name="_____dcf1">#REF!</definedName>
    <definedName name="____LBO1">#REF!</definedName>
    <definedName name="STMATRIX10">#REF!</definedName>
    <definedName localSheetId="0" name="pmv">#REF!</definedName>
    <definedName name="PerfModelHdr">#REF!</definedName>
    <definedName name="_bdm.959E9AC27B0E4B3F9EFDC271FFC32EA4.edm">#REF!</definedName>
    <definedName name="Questar_Assums">#REF!</definedName>
    <definedName localSheetId="0" name="MAT.INTERMED">#REF!</definedName>
    <definedName localSheetId="0" name="backup">#REF!</definedName>
    <definedName localSheetId="0" name="Picasso">#REF!</definedName>
    <definedName name="_bdm.EA756B491E98464EBA8FD85C9F63E14E.edm">#REF!</definedName>
    <definedName name="FDP_19_1_aUdv">#REF!</definedName>
    <definedName name="BLPR7620040303143549976">#REF!</definedName>
    <definedName name="asdasdaq">#REF!</definedName>
    <definedName name="_DCF4">#REF!</definedName>
    <definedName localSheetId="0" name="TargLTG1">#REF!</definedName>
    <definedName localSheetId="0" name="DESP.VENDAS">#REF!</definedName>
    <definedName localSheetId="0" name="Plant_Case_Name">#REF!</definedName>
    <definedName name="_15">#REF!</definedName>
    <definedName localSheetId="0" name="FOREX">#REF!</definedName>
    <definedName name="prolinks_5ee75246e4c0416182d91b94b687955c">#REF!</definedName>
    <definedName name="Produce_Wash_and_Ripe">#REF!</definedName>
    <definedName localSheetId="0" name="DJU">#REF!</definedName>
    <definedName localSheetId="0" name="CONS_BUY">#REF!</definedName>
    <definedName name="FCCL">#REF!</definedName>
    <definedName name="June">#REF!</definedName>
    <definedName name="LionADRShares">#REF!</definedName>
    <definedName name="_ANO78">#REF!</definedName>
    <definedName name="lbla12">#REF!</definedName>
    <definedName name="REPUBLIC1">#REF!</definedName>
    <definedName name="AsOfDate">#REF!</definedName>
    <definedName localSheetId="0" name="codn_sa">#REF!</definedName>
    <definedName localSheetId="0" name="NONCPRYR">#REF!</definedName>
    <definedName localSheetId="0" name="synch">#REF!</definedName>
    <definedName name="DIFERIDO">#REF!</definedName>
    <definedName name="D8_">#REF!</definedName>
    <definedName name="FSFSFS">#REF!</definedName>
    <definedName name="__ANO71">#REF!</definedName>
    <definedName name="_bdm.F45B926099ED4CE08ADFA9F3C7F2F891.edm">#REF!</definedName>
    <definedName name="CASA">#REF!</definedName>
    <definedName name="STMATRIX1">#REF!</definedName>
    <definedName name="NOL_S">#REF!</definedName>
    <definedName name="vg">#REF!</definedName>
    <definedName name="FebOff">#REF!</definedName>
    <definedName name="BLPR15820040303143550257_2_2">#REF!</definedName>
    <definedName name="IgpdiAcum0">#REF!</definedName>
    <definedName name="YTDCONSOL">#REF!</definedName>
    <definedName name="Sust_Capex_24">#REF!</definedName>
    <definedName name="FDP_25_1_aUrv">#REF!</definedName>
    <definedName name="BLPR620040303143540783_2_3">#REF!</definedName>
    <definedName name="cse">#REF!</definedName>
    <definedName name="Debt_10_4">#REF!</definedName>
    <definedName name="ACCDIL01e30">#REF!</definedName>
    <definedName localSheetId="0" name="q298_ni">#REF!</definedName>
    <definedName localSheetId="0" name="AugOff">#REF!</definedName>
    <definedName name="bazez">#REF!</definedName>
    <definedName name="__lb19">#REF!</definedName>
    <definedName name="_bdm.C9383EC514574A948F0E0972B4864F34.edm">#REF!</definedName>
    <definedName name="cchart16">#REF!</definedName>
    <definedName localSheetId="0" name="DL">#REF!</definedName>
    <definedName name="_bdm.6F9DACD75D6D4FDC854C0FAECA5EC329.edm">#REF!</definedName>
    <definedName name="p_LBO_returncalc">#REF!</definedName>
    <definedName name="IgpmAcum0">#REF!</definedName>
    <definedName name="FDP_93_1_aSrv">#REF!</definedName>
    <definedName localSheetId="0" name="BANCOS1">#REF!</definedName>
    <definedName name="address3">#REF!</definedName>
    <definedName name="Price_Registration2016">#REF!</definedName>
    <definedName name="FDP_43_1_aUrv">#REF!</definedName>
    <definedName name="BLPR11920040303143550047_1_1">#REF!</definedName>
    <definedName name="Brooklyn_Penetration_Rate">#REF!</definedName>
    <definedName name="BLPR19720040303143550968_1_2">#REF!</definedName>
    <definedName name="bchart17">#REF!</definedName>
    <definedName name="_bdm.2EA69F7C82C94402BA84ACEDD6F59138.edm">#REF!</definedName>
    <definedName name="_bdm.0BC024ED87F248EBAFE8740807E17164.edm">#REF!</definedName>
    <definedName localSheetId="0" name="_10">#REF!</definedName>
    <definedName name="BLPR22120040303143552230_1_2">#REF!</definedName>
    <definedName name="Crng_WPane">#REF!</definedName>
    <definedName name="Sust_Capex_21">#REF!</definedName>
    <definedName name="except">#REF!</definedName>
    <definedName name="MENU">#REF!</definedName>
    <definedName name="BLPH48">#REF!</definedName>
    <definedName name="LBO20c">#REF!</definedName>
    <definedName name="__SUB1">#REF!</definedName>
    <definedName localSheetId="0" name="IR.ESTADO">#REF!</definedName>
    <definedName name="__123Graph_XMTBE">#REF!</definedName>
    <definedName name="BLPR5620040303143542105_3_3">#REF!</definedName>
    <definedName name="____FCF4">#REF!</definedName>
    <definedName name="Price_LienCheck2015">#REF!</definedName>
    <definedName name="DEPREC.ADM">#REF!</definedName>
    <definedName name="Debt_19_2">#REF!</definedName>
    <definedName name="MULT982c30">#REF!</definedName>
    <definedName name="_GSRATESR_2">#REF!</definedName>
    <definedName name="prolinks_e56b66dda7fb430bbc2f47c1c2c35c42">#REF!</definedName>
    <definedName name="FDP_11_1_aUrv">#REF!</definedName>
    <definedName name="va">#REF!</definedName>
    <definedName localSheetId="0" name="SENSITIVE">#REF!</definedName>
    <definedName name="Debt_14_3">#REF!</definedName>
    <definedName name="Order_Frequency_Weeks_Per_Year">#REF!</definedName>
    <definedName name="gt">#REF!</definedName>
    <definedName name="_1wq">#REF!</definedName>
    <definedName localSheetId="0" name="PrintMacros">#REF!</definedName>
    <definedName name="Active_User_Profile">#REF!</definedName>
    <definedName name="BLPR17020040303143550437">#REF!</definedName>
    <definedName name="achart15">#REF!</definedName>
    <definedName name="Operating_profit">#REF!</definedName>
    <definedName name="Base_Depreciações">#REF!</definedName>
    <definedName name="FACE">#REF!</definedName>
    <definedName name="___PBT03">#REF!</definedName>
    <definedName name="__LBO1">#REF!</definedName>
    <definedName name="_75__123Graph_ECHART_12">#REF!</definedName>
    <definedName name="_bdm.e07392c2c4a9434b9c708641fcd76824.edm">#REF!</definedName>
    <definedName name="ACCDIL99d40">#REF!</definedName>
    <definedName name="zzzzzzzzzzzzzz">#REF!</definedName>
    <definedName name="HIGHLIGHTS">#REF!</definedName>
    <definedName name="BLPR4420040303143540883">#REF!</definedName>
    <definedName name="_ANO73">#REF!</definedName>
    <definedName name="BLPH170">#REF!</definedName>
    <definedName name="Price">#REF!</definedName>
    <definedName name="Debt_18_3">#REF!</definedName>
    <definedName localSheetId="0" name="Minimum_Customer_Service_Agents_Required">#REF!</definedName>
    <definedName localSheetId="0" name="Variation_Special_reserve">#REF!</definedName>
    <definedName name="BeginDate2">#REF!</definedName>
    <definedName name="Opex_20">#REF!</definedName>
    <definedName name="_bdm.1A43F4D9FC694723B1538ACA0D61BF1E.edm">#REF!</definedName>
    <definedName name="__lb10">#REF!</definedName>
    <definedName name="DiretoriaPresidência">#REF!</definedName>
    <definedName name="JunOn">#REF!</definedName>
    <definedName name="mai">#REF!</definedName>
    <definedName name="___PBT01">#REF!</definedName>
    <definedName name="IpcaAcumAno3">#REF!</definedName>
    <definedName name="_REV02">#REF!</definedName>
    <definedName name="IpcaAcumAno6">#REF!</definedName>
    <definedName name="___ANO84">#REF!</definedName>
    <definedName name="C.M.B">#REF!</definedName>
    <definedName name="______FCF6">#REF!</definedName>
    <definedName name="RODAPE1">#REF!</definedName>
    <definedName name="BLPR4020040303143540873_1_3">#REF!</definedName>
    <definedName name="LionBDMarketCapUnits">#REF!</definedName>
    <definedName name="INSTALL_CAD">#REF!</definedName>
    <definedName name="VALORES_ACUM_5">#REF!</definedName>
    <definedName localSheetId="0" name="Structure">#REF!</definedName>
    <definedName name="fxus0">#REF!</definedName>
    <definedName name="_8__123Graph_BGROWTH_REVS_B">#REF!</definedName>
    <definedName name="MVIC_EBIT">#REF!</definedName>
    <definedName name="BLPR5420040303143542095">#REF!</definedName>
    <definedName name="inc_tax">#REF!</definedName>
    <definedName name="Q4_93">#REF!</definedName>
    <definedName name="__FCF6">#REF!</definedName>
    <definedName localSheetId="0" name="strike">#REF!</definedName>
    <definedName localSheetId="0" name="Quadro_II___Base_monetária_e_componentes">#REF!</definedName>
    <definedName localSheetId="0" name="Qtr_0Revs">#REF!</definedName>
    <definedName name="BLPR320040303143540773_3_3">#REF!</definedName>
    <definedName name="shares">#REF!</definedName>
    <definedName name="StartPRA3">#REF!</definedName>
    <definedName name="Convertible_Debt_1_4">#REF!</definedName>
    <definedName name="BLPR22220040303143552260">#REF!</definedName>
    <definedName name="PL_Depreciation">#REF!</definedName>
    <definedName name="eve">#REF!</definedName>
    <definedName name="BLPR18420040303143550698_1_2">#REF!</definedName>
    <definedName name="q298_rev">#REF!</definedName>
    <definedName name="FDP_123_1_aUrv">#REF!</definedName>
    <definedName name="rPricePaidB1">#REF!</definedName>
    <definedName name="IR_3">#REF!</definedName>
    <definedName name="Q2_91">#REF!</definedName>
    <definedName name="_bdm.7009D47FC75543A7A724F5AD4376982A.edm">#REF!</definedName>
    <definedName name="Debt_14_1">#REF!</definedName>
    <definedName name="BLPR620040303143540783">#REF!</definedName>
    <definedName name="BLPR22020040303143552210_1_2">#REF!</definedName>
    <definedName name="obs_Sust_OutrO">#REF!</definedName>
    <definedName localSheetId="0" name="_SUB1">#REF!</definedName>
    <definedName name="LionBDInvOpinion2">#REF!</definedName>
    <definedName name="___ANO80">#REF!</definedName>
    <definedName name="LionBDADRInvOpinion1">#REF!</definedName>
    <definedName name="lbla11">#REF!</definedName>
    <definedName name="FCFc">#REF!</definedName>
    <definedName name="CapIQ">#REF!</definedName>
    <definedName name="TTF94A">#REF!</definedName>
    <definedName name="HAWK3">#REF!</definedName>
    <definedName name="Debt_15_3">#REF!</definedName>
    <definedName name="DCO">#REF!</definedName>
    <definedName name="_TRC92">#REF!</definedName>
    <definedName name="EQUIVALENCIA">#REF!</definedName>
    <definedName name="ACCDIL00f20">#REF!</definedName>
    <definedName localSheetId="0" name="captable">#REF!</definedName>
    <definedName name="BLPH144">#REF!</definedName>
    <definedName name="OutrC_21">#REF!</definedName>
    <definedName name="rPricePaidF1">#REF!</definedName>
    <definedName name="Other_Financial_Assets">#REF!</definedName>
    <definedName name="AcqLTG1">#REF!</definedName>
    <definedName name="BLPH80">#REF!</definedName>
    <definedName name="DUP.DESC">#REF!</definedName>
    <definedName name="lic">#REF!</definedName>
    <definedName name="FDP_78_1_aDrv">#REF!</definedName>
    <definedName name="_bdm.7FD772DF97374055B4694265741EF15F.edm">#REF!</definedName>
    <definedName name="Hierarquia">#REF!</definedName>
    <definedName name="sec_invt">#REF!</definedName>
    <definedName name="_bdm.37B9213EDA5F45DCA71999EC7C64454B.edm">#REF!</definedName>
    <definedName localSheetId="0" name="YearEndMonth">#REF!</definedName>
    <definedName name="BLPH120">#REF!</definedName>
    <definedName name="PricePrint">#REF!</definedName>
    <definedName name="FDP_153_1_aUrv">#REF!</definedName>
    <definedName name="page7">#REF!</definedName>
    <definedName name="Germany_Sales">#REF!</definedName>
    <definedName name="BLPR16120040303143550297">#REF!</definedName>
    <definedName name="BLPR4220040303143540873_2_3">#REF!</definedName>
    <definedName name="costline">#REF!</definedName>
    <definedName name="Recursos">#REF!</definedName>
    <definedName localSheetId="0" name="BS_AP">#REF!</definedName>
    <definedName name="July">#REF!</definedName>
    <definedName name="outytd">#REF!</definedName>
    <definedName name="BLPR10320040303143550017">#REF!</definedName>
    <definedName name="port">#REF!</definedName>
    <definedName localSheetId="0" name="Intangible_Assets">#REF!</definedName>
    <definedName name="BLPR19520040303143550928_2_2">#REF!</definedName>
    <definedName name="swaprate">#REF!</definedName>
    <definedName name="_x14">#REF!</definedName>
    <definedName name="Q2_86">#REF!</definedName>
    <definedName localSheetId="0" name="DolMedio2007">#REF!</definedName>
    <definedName name="SUNDRY.MAT">#REF!</definedName>
    <definedName name="IgdiAcumAno4">#REF!</definedName>
    <definedName localSheetId="0" name="DELPHOS">#REF!</definedName>
    <definedName name="BLPH119">#REF!</definedName>
    <definedName name="Footnote3">#REF!</definedName>
    <definedName name="CASESUM2">#REF!</definedName>
    <definedName name="prolinks_58df658b07794b57809df6770ac2b56a">#REF!</definedName>
    <definedName localSheetId="0" name="CF_Straight_Debt">#REF!</definedName>
    <definedName name="_0">#REF!</definedName>
    <definedName name="LionBDNetDebtEquity">#REF!</definedName>
    <definedName name="obs_AHCO">#REF!</definedName>
    <definedName localSheetId="0" name="Other_Taxes">#REF!</definedName>
    <definedName name="ACCDIL00e20">#REF!</definedName>
    <definedName name="Convertible_Preferred_1_5">#REF!</definedName>
    <definedName localSheetId="0" name="TrechoPadrao">#REF!</definedName>
    <definedName localSheetId="0" name="DeParaGerencialBmf">#REF!</definedName>
    <definedName localSheetId="0" name="Average_Handle_Time_Email">#REF!</definedName>
    <definedName name="p_Index">#REF!</definedName>
    <definedName name="FDP_94_1_aSrv">#REF!</definedName>
    <definedName name="___ANO71">#REF!</definedName>
    <definedName name="BLPR15720040303143550237_1_2">#REF!</definedName>
    <definedName name="NovOn">#REF!</definedName>
    <definedName name="_bdm.2DD241F7B38040109BAAAB1F7858B85B.edm">#REF!</definedName>
    <definedName name="fevytd">#REF!</definedName>
    <definedName name="_bdm.E94D2E6FA97E4D7A8D4F47902DBF6D06.edm">#REF!</definedName>
    <definedName name="Selic8">#REF!</definedName>
    <definedName name="IRR_2016_Preço_Arenoso">#REF!</definedName>
    <definedName name="_ATI2">#REF!</definedName>
    <definedName name="_bdm.26E906EF746341D4AEB8C695DE14BCD4.edm">#REF!</definedName>
    <definedName name="Fertirrigação">#REF!</definedName>
    <definedName name="depreciation">#REF!</definedName>
    <definedName name="_82__123Graph_ECHART_4">#REF!</definedName>
    <definedName name="_lb6">#REF!</definedName>
    <definedName localSheetId="0" name="STMATRIX1">#REF!</definedName>
    <definedName name="_bdm.A78911217BFF4DBFAA0F3AF12871E309.edm">#REF!</definedName>
    <definedName name="BLPR15020040303143550087">#REF!</definedName>
    <definedName name="_bdm.D7A674489014407E8DB64E3592840386.edm">#REF!</definedName>
    <definedName name="BLPR220040303143540773_3_3">#REF!</definedName>
    <definedName name="BLPH14">#REF!</definedName>
    <definedName name="DIVID.PL.INTER">#REF!</definedName>
    <definedName name="projectname">#REF!</definedName>
    <definedName name="DU_8">#REF!</definedName>
    <definedName name="PPA_project">#REF!</definedName>
    <definedName name="FINAN.LIQ">#REF!</definedName>
    <definedName name="__x14">#REF!</definedName>
    <definedName name="QtrDate">#REF!</definedName>
    <definedName name="LionBDInvOpinionLookUp">#REF!</definedName>
    <definedName name="Options_and_Warrants_3_4">#REF!</definedName>
    <definedName name="cusprd04">#REF!</definedName>
    <definedName name="BLPR3120040303143540853_2_3">#REF!</definedName>
    <definedName name="MENU1">#REF!</definedName>
    <definedName localSheetId="0" name="va">#REF!</definedName>
    <definedName name="_____SUB2">#REF!</definedName>
    <definedName name="BLPH146">#REF!</definedName>
    <definedName name="_JOSE_JOSE">#REF!</definedName>
    <definedName name="CA">#REF!</definedName>
    <definedName name="Research">#REF!</definedName>
    <definedName localSheetId="0" name="_REV01">#REF!</definedName>
    <definedName name="BLPR14520040303143550077_1_1">#REF!</definedName>
    <definedName name="___EPS01">#REF!</definedName>
    <definedName name="LionKDNetDivQ2">#REF!</definedName>
    <definedName name="_bdm.1E17F9A875554381865F8623FE3CDA4E.edm">#REF!</definedName>
    <definedName name="fy_98">#REF!</definedName>
    <definedName name="DERM_BUY">#REF!</definedName>
    <definedName name="fator">#REF!</definedName>
    <definedName localSheetId="0" name="Std_Monthly_Fee">#REF!</definedName>
    <definedName name="____rev2">#REF!</definedName>
    <definedName name="Div_Method">#REF!</definedName>
    <definedName name="_49__123Graph_BCHART_1">#REF!</definedName>
    <definedName name="__123Graph_AChart1">#REF!</definedName>
    <definedName name="CASH_PAY">#REF!</definedName>
    <definedName name="BLPR11220040303143550037_1_1">#REF!</definedName>
    <definedName name="DRC">#REF!</definedName>
    <definedName name="OLEPosition">#REF!</definedName>
    <definedName name="LionKDRAPubDate">#REF!</definedName>
    <definedName name="NETWORTH">#REF!</definedName>
    <definedName name="midyear">#REF!</definedName>
    <definedName name="BLPR8420040303143549987_1_1">#REF!</definedName>
    <definedName name="BLPR1720040303143540823_3_3">#REF!</definedName>
    <definedName name="cod_credn">#REF!</definedName>
    <definedName name="Residual_Value_Percent">#REF!</definedName>
    <definedName name="_lbc16">#REF!</definedName>
    <definedName name="BLPR9220040303143550007_1_1">#REF!</definedName>
    <definedName name="Q3_86">#REF!</definedName>
    <definedName name="CF_Dividends_Subsidiary">#REF!</definedName>
    <definedName name="FY98_REV">#REF!</definedName>
    <definedName name="IgpdiAcum7">#REF!</definedName>
    <definedName name="Debt_10_2">#REF!</definedName>
    <definedName name="percentage">#REF!</definedName>
    <definedName name="__ANO94">#REF!</definedName>
    <definedName name="FDP_161_1_aUrv">#REF!</definedName>
    <definedName name="FDP_124_1_aUrv">#REF!</definedName>
    <definedName name="FF5_52">#REF!</definedName>
    <definedName name="____DCF6">#REF!</definedName>
    <definedName name="BLPR14520040303143550077">#REF!</definedName>
    <definedName name="BLPR3620040303143540863">#REF!</definedName>
    <definedName name="rShares2002">#REF!</definedName>
    <definedName localSheetId="0" name="postal3">#REF!</definedName>
    <definedName name="_bdm.7A2228AF6E8746C8BE2A3C40FE2592AD.edm">#REF!</definedName>
    <definedName name="Options_and_Warrants_3_3">#REF!</definedName>
    <definedName localSheetId="0" name="CPRIME">#REF!</definedName>
    <definedName name="____PBT01">#REF!</definedName>
    <definedName name="s_11">#REF!</definedName>
    <definedName localSheetId="0" name="Food_Dollars_Per_Household">#REF!</definedName>
    <definedName name="STMATRIX7">#REF!</definedName>
    <definedName name="q399_shares">#REF!</definedName>
    <definedName name="BLPR9220040303143550007">#REF!</definedName>
    <definedName name="ART_SHARES">#REF!</definedName>
    <definedName name="TargCash">#REF!</definedName>
    <definedName name="operating_case">#REF!</definedName>
    <definedName name="prolinks_2e2eac7f08a246dbbeaa65416f37c053">#REF!</definedName>
    <definedName name="prolinks_382a95e06e0b46268003deaa7b5b6daf">#REF!</definedName>
    <definedName name="__dcf1">#REF!</definedName>
    <definedName name="FDP_71_1_aUrv">#REF!</definedName>
    <definedName name="PostTaxRealImp">#REF!</definedName>
    <definedName name="GAM">#REF!</definedName>
    <definedName name="BLPR2420040303143540833_2_3">#REF!</definedName>
    <definedName name="NONCBUD">#REF!</definedName>
    <definedName name="obs_HIC">#REF!</definedName>
    <definedName name="BLPH11">#REF!</definedName>
    <definedName name="____ATI2">#REF!</definedName>
    <definedName name="targ_latest_q">#REF!</definedName>
    <definedName name="JanOn">#REF!</definedName>
    <definedName name="obs_JurO">#REF!</definedName>
    <definedName name="CONT.REC.ME">#REF!</definedName>
    <definedName name="prolinks_86a2317d921644dc9a6e3f56a8b30652">#REF!</definedName>
    <definedName name="Base_Bônus">#REF!</definedName>
    <definedName name="__DCF10">#REF!</definedName>
    <definedName name="BLPR4220040303143540873_1_3">#REF!</definedName>
    <definedName name="_____pg1">#REF!</definedName>
    <definedName name="Latin_Amercia">#REF!</definedName>
    <definedName name="CONSOLIDATED_BALANCE_SHEET">#REF!</definedName>
    <definedName name="BLPR16720040303143550397_1_2">#REF!</definedName>
    <definedName name="HistoCell">#REF!</definedName>
    <definedName localSheetId="0" name="s_1">#REF!</definedName>
    <definedName name="DolMedioQ4">#REF!</definedName>
    <definedName name="Acq06NetInc2">#REF!</definedName>
    <definedName localSheetId="0" name="zzzzzzzzzzzzzz">#REF!</definedName>
    <definedName name="Revolver_Interest">#REF!</definedName>
    <definedName localSheetId="0" name="CF_Dividends_Subsidiary">#REF!</definedName>
    <definedName name="M.PER">#REF!</definedName>
    <definedName name="p_DebtBreakdownB">#REF!</definedName>
    <definedName name="CARLA">#REF!</definedName>
    <definedName name="p_EVA">#REF!</definedName>
    <definedName name="ACwvu.Rate._.Table.">#REF!</definedName>
    <definedName name="IgdiAcumAno10">#REF!</definedName>
    <definedName name="CONVERT_PREMIUM">#REF!</definedName>
    <definedName name="prolinks_d2c3f911d2c84f698ef222757761a6cd">#REF!</definedName>
    <definedName localSheetId="0" name="DEM_INV_X">#REF!</definedName>
    <definedName name="_bdm.AD4B3D65631F431C8AD4A9858E589822.edm">#REF!</definedName>
    <definedName name="CONT.REC">#REF!</definedName>
    <definedName name="BLPR19220040303143550858_2_2">#REF!</definedName>
    <definedName name="FDP_24_1_aDrv">#REF!</definedName>
    <definedName name="Straight_Preferred_1_2">#REF!</definedName>
    <definedName name="__123Graph_LBL_APRINCIPAL">#REF!</definedName>
    <definedName localSheetId="0" name="PreTaxReal">#REF!</definedName>
    <definedName name="BLPR4320040303143540873_3_3">#REF!</definedName>
    <definedName name="BLPR11620040303143550037">#REF!</definedName>
    <definedName name="prolinks_192e6082f98f41f59c9d41fd2e45c2f1">#REF!</definedName>
    <definedName localSheetId="0" name="AcqSharesNow">#REF!</definedName>
    <definedName name="s_21">#REF!</definedName>
    <definedName name="bchart12">#REF!</definedName>
    <definedName name="sales3">#REF!</definedName>
    <definedName name="SERIE_MESES">#REF!</definedName>
    <definedName name="row_special">#REF!</definedName>
    <definedName name="COMPRAS">#REF!</definedName>
    <definedName name="OB">#REF!</definedName>
    <definedName name="ID">#REF!</definedName>
    <definedName name="___ANO77">#REF!</definedName>
    <definedName name="HM_2">#REF!</definedName>
    <definedName name="Swvu.Rate._.Table.">#REF!</definedName>
    <definedName name="RES.MINORITARIOS">#REF!</definedName>
    <definedName name="Tipos_de_Solo">#REF!</definedName>
    <definedName localSheetId="0" name="Cost_of_Sales">#REF!</definedName>
    <definedName name="Price_Analytics2015">#REF!</definedName>
    <definedName localSheetId="0" name="share_table">#REF!</definedName>
    <definedName name="___ANO86">#REF!</definedName>
    <definedName name="DELHEAD">#REF!</definedName>
    <definedName name="BS_Revolver">#REF!</definedName>
    <definedName name="Goodwill2">#REF!</definedName>
    <definedName name="_ANO70">#REF!</definedName>
    <definedName name="abr">#REF!</definedName>
    <definedName name="ULTMES">#REF!</definedName>
    <definedName name="BS_Cash">#REF!</definedName>
    <definedName name="s_15">#REF!</definedName>
    <definedName name="BLPR4620040303143540883">#REF!</definedName>
    <definedName name="__lbc10">#REF!</definedName>
    <definedName name="FDP_35_1_aDrv">#REF!</definedName>
    <definedName localSheetId="0" name="AFIL.REC.ME">#REF!</definedName>
    <definedName name="PRODUTOS">#REF!</definedName>
    <definedName name="M_1">#REF!</definedName>
    <definedName name="Straight_Preferred_2_1">#REF!</definedName>
    <definedName name="_38__123Graph_BCHART_4">#REF!</definedName>
    <definedName name="qqqqqqqqqqq">#REF!</definedName>
    <definedName name="_bdm.B2793DB9547F4B13954FEFB95FFFE55C.edm">#REF!</definedName>
    <definedName name="ksjdaksjdkasjdas">#REF!</definedName>
    <definedName localSheetId="0" name="Start_Price">#REF!</definedName>
    <definedName name="RedC_20">#REF!</definedName>
    <definedName name="Dolar6">#REF!</definedName>
    <definedName name="ACCDIL99f40">#REF!</definedName>
    <definedName name="WOUND_BUY">#REF!</definedName>
    <definedName name="LionPrice">#REF!</definedName>
    <definedName name="BLPR4520040303143540883_2_3">#REF!</definedName>
    <definedName name="rEPS2002Local">#REF!</definedName>
    <definedName name="__x20">#REF!</definedName>
    <definedName name="Blank4">#REF!</definedName>
    <definedName name="row">#REF!</definedName>
    <definedName name="TRADUÇÃO.PL">#REF!</definedName>
    <definedName name="LBOIPOExit1">#REF!</definedName>
    <definedName name="FDP_8_1_aUrv">#REF!</definedName>
    <definedName localSheetId="0" name="case2">#REF!</definedName>
    <definedName name="_4">#REF!</definedName>
    <definedName name="BLPR13320040303143550067_1_1">#REF!</definedName>
    <definedName name="Print_Network_Comments">#REF!</definedName>
    <definedName name="_lbc2">#REF!</definedName>
    <definedName name="MEDIA_CAD">#REF!</definedName>
    <definedName name="STMATRIX11">#REF!</definedName>
    <definedName name="CONBUD">#REF!</definedName>
    <definedName name="achart6">#REF!</definedName>
    <definedName name="PROVISÕES">#REF!</definedName>
    <definedName name="BLPR3420040303143540853">#REF!</definedName>
    <definedName name="LBO20e">#REF!</definedName>
    <definedName localSheetId="0" name="priceList070103only">#REF!</definedName>
    <definedName name="_10__123Graph_AR_M_MARG">#REF!</definedName>
    <definedName name="Prior">#REF!</definedName>
    <definedName name="BLPR18620040303143550738_1_2">#REF!</definedName>
    <definedName name="Qtr_0Exp">#REF!</definedName>
    <definedName name="Page_3">#REF!</definedName>
    <definedName name="p_LBO_SO">#REF!</definedName>
    <definedName name="_lb19">#REF!</definedName>
    <definedName name="col_values">#REF!</definedName>
    <definedName name="Sust_OutrC_21">#REF!</definedName>
    <definedName name="BLPH25">#REF!</definedName>
    <definedName name="FDP_2_1_aSrv">#REF!</definedName>
    <definedName name="_ld31">#REF!</definedName>
    <definedName name="BLPR17220040303143550477_1_2">#REF!</definedName>
    <definedName localSheetId="0" name="ago">#REF!</definedName>
    <definedName name="IpcaAcumAno2">#REF!</definedName>
    <definedName name="prolinks_5469fbbde7ae416eb21b3229ad28014e">#REF!</definedName>
    <definedName localSheetId="0" name="Migration">#REF!</definedName>
    <definedName name="OPBFFORE">#REF!</definedName>
    <definedName name="LionBDBookValuePerShare">#REF!</definedName>
    <definedName localSheetId="0" name="Pre_Tax__Profit">#REF!</definedName>
    <definedName name="transclose">#REF!</definedName>
    <definedName name="BLPH24">#REF!</definedName>
    <definedName name="FDP_53_1_rUrv">#REF!</definedName>
    <definedName name="_EPS01">#REF!</definedName>
    <definedName name="PL_Minority_NI">#REF!</definedName>
    <definedName name="Fluxo6">#REF!</definedName>
    <definedName name="_ANO77">#REF!</definedName>
    <definedName name="BLPR9120040303143549997">#REF!</definedName>
    <definedName name="JanOff">#REF!</definedName>
    <definedName name="PL_BasicSO">#REF!</definedName>
    <definedName name="BLPR20620040303143552009_1_1">#REF!</definedName>
    <definedName name="Debt_2_4">#REF!</definedName>
    <definedName name="Convertible_Preferred_6_2">#REF!</definedName>
    <definedName localSheetId="0" name="BUNDYCASH">#REF!</definedName>
    <definedName name="fy_99">#REF!</definedName>
    <definedName name="BLPR17320040303143550487_2_2">#REF!</definedName>
    <definedName name="DCDElePer2010YY">#REF!</definedName>
    <definedName name="rate">#REF!</definedName>
    <definedName name="StartWACC1">#REF!</definedName>
    <definedName name="IgpdiAcum3">#REF!</definedName>
    <definedName name="tg">#REF!</definedName>
    <definedName name="_cab1">#REF!</definedName>
    <definedName name="FDP_63_1_aUrv">#REF!</definedName>
    <definedName name="budgetk94">#REF!</definedName>
    <definedName name="Cash4">#REF!</definedName>
    <definedName name="lbla13">#REF!</definedName>
    <definedName name="s_4">#REF!</definedName>
    <definedName name="whole">#REF!</definedName>
    <definedName name="AnnotateStart">#REF!</definedName>
    <definedName localSheetId="0" name="sum">#REF!</definedName>
    <definedName name="NATLACTPLUS">#REF!</definedName>
    <definedName name="I.R">#REF!</definedName>
    <definedName name="s_12">#REF!</definedName>
    <definedName name="CONSGSD">#REF!</definedName>
    <definedName name="NATLDUNSTRAN">#REF!</definedName>
    <definedName name="LionPieChart2Data">#REF!</definedName>
    <definedName name="BLPR1220040303143540803_2_3">#REF!</definedName>
    <definedName name="Atb_ContaCtb">#REF!</definedName>
    <definedName localSheetId="0" name="CONVERT_PREMIUM">#REF!</definedName>
    <definedName name="___DCF6">#REF!</definedName>
    <definedName name="_bdm.07F41760F1494FF5A2F7D286918F4222.edm">#REF!</definedName>
    <definedName name="FDP_152_1_aUrv">#REF!</definedName>
    <definedName name="FDP_3_1_aUrv">#REF!</definedName>
    <definedName name="AVGLIFE">#REF!</definedName>
    <definedName name="q4_98">#REF!</definedName>
    <definedName localSheetId="0" name="Commitment_Fee">#REF!</definedName>
    <definedName name="SepOff">#REF!</definedName>
    <definedName name="BLPR16620040303143550377">#REF!</definedName>
    <definedName localSheetId="0" name="QTDMSGCIPAtual">#REF!</definedName>
    <definedName name="BLPR4720040303143540893_2_3">#REF!</definedName>
    <definedName localSheetId="0" name="PeerNames">#REF!</definedName>
    <definedName localSheetId="0" name="PIKTERM2">#REF!</definedName>
    <definedName name="obs_HIO">#REF!</definedName>
    <definedName name="Eupro">#REF!</definedName>
    <definedName name="____REV01">#REF!</definedName>
    <definedName name="prolinks_912d2b84a9464b09908b6dc5831ab375">#REF!</definedName>
    <definedName name="prolinks_c5a18bc50eaf46999e73217ba3e5be4d">#REF!</definedName>
    <definedName name="BLPR10720040303143550027_1_1">#REF!</definedName>
    <definedName name="_bdm.88DDF7E2886F468DB0D4CD9331E29103.edm">#REF!</definedName>
    <definedName name="Ownership">#REF!</definedName>
    <definedName name="FDP_64_1_aDrv">#REF!</definedName>
    <definedName name="BLPR17220040303143550477_2_2">#REF!</definedName>
    <definedName name="__x29">#REF!</definedName>
    <definedName localSheetId="0" name="convention">#REF!</definedName>
    <definedName name="Debt_19_1">#REF!</definedName>
    <definedName name="dfasf">#REF!</definedName>
    <definedName name="_FAT1">#REF!</definedName>
    <definedName name="prolinks_5820f435f03f42c0b19d314b8303abb4">#REF!</definedName>
    <definedName name="FDP_85_1_aSrv">#REF!</definedName>
    <definedName name="Q1_95">#REF!</definedName>
    <definedName name="Sust_OutrC_24">#REF!</definedName>
    <definedName name="cal00_eps">#REF!</definedName>
    <definedName name="achar19">#REF!</definedName>
    <definedName name="CASESUM4">#REF!</definedName>
    <definedName name="LBO40d">#REF!</definedName>
    <definedName name="Comparison">#REF!</definedName>
    <definedName localSheetId="0" name="EBITDAdebt">#REF!</definedName>
    <definedName name="Dolar1">#REF!</definedName>
    <definedName name="____FCF8">#REF!</definedName>
    <definedName localSheetId="0" name="__LBO1">#REF!</definedName>
    <definedName localSheetId="0" name="DemoFin">#REF!</definedName>
    <definedName name="_x28">#REF!</definedName>
    <definedName name="BLPR18520040303143550718">#REF!</definedName>
    <definedName name="Comb.LS.Passivo">#REF!</definedName>
    <definedName name="prolinks_e4d383cc433149fa831e5c7fc5f4f26e">#REF!</definedName>
    <definedName name="__lbc1">#REF!</definedName>
    <definedName localSheetId="0" name="NOL_S">#REF!</definedName>
    <definedName name="MARY_CASE">#REF!</definedName>
    <definedName name="March">#REF!</definedName>
    <definedName name="BLPH163">#REF!</definedName>
    <definedName name="BLPR13520040303143550067">#REF!</definedName>
    <definedName name="USD_BRL">#REF!</definedName>
    <definedName name="IVESBS">#REF!</definedName>
    <definedName name="Blank5">#REF!</definedName>
    <definedName localSheetId="0" name="SING1">#REF!</definedName>
    <definedName name="______QTR1">#REF!</definedName>
    <definedName name="_bdm.2FF6473FACF54EF3B5C0018AEC943079.edm">#REF!</definedName>
    <definedName name="setytd">#REF!</definedName>
    <definedName name="ROWREV">#REF!</definedName>
    <definedName name="ELIMINAÇÕES.INV">#REF!</definedName>
    <definedName name="BLPH87">#REF!</definedName>
    <definedName localSheetId="0" name="DOMREV">#REF!</definedName>
    <definedName localSheetId="0" name="Indice03">#REF!</definedName>
    <definedName name="cratios">#REF!</definedName>
    <definedName name="_9__123Graph_CGROWTH_REVS_A">#REF!</definedName>
    <definedName localSheetId="0" name="LOOP">#REF!</definedName>
    <definedName name="_bdm.58F13F2D62BF4E37A26EA5BC820B781D.edm">#REF!</definedName>
    <definedName name="FDP_86_1_aDrv">#REF!</definedName>
    <definedName name="___FCF7">#REF!</definedName>
    <definedName name="_bdm.B5CCE94FDE5B4E6394ADBC0D26A64C48.edm">#REF!</definedName>
    <definedName name="IMAGERUN">#REF!</definedName>
    <definedName name="_bdm.ECC35B303AC641AD9723EF54E4367A4B.edm">#REF!</definedName>
    <definedName name="December">#REF!</definedName>
    <definedName name="Debt_12_4">#REF!</definedName>
    <definedName name="PCLD">#REF!</definedName>
    <definedName name="IgpdiAcum6">#REF!</definedName>
    <definedName name="FDP_5_1_aUrv">#REF!</definedName>
    <definedName localSheetId="0" name="min_cash">#REF!</definedName>
    <definedName name="_58__123Graph_DCHART_11">#REF!</definedName>
    <definedName name="Dolar9">#REF!</definedName>
    <definedName name="______sem1">#REF!</definedName>
    <definedName localSheetId="0" name="asdafasdf">#REF!</definedName>
    <definedName name="WIZARD_Y1PEE">#REF!</definedName>
    <definedName name="IpcaAcumAno11">#REF!</definedName>
    <definedName name="_row1">#REF!</definedName>
    <definedName localSheetId="0" name="AcqValuation">#REF!</definedName>
    <definedName name="cchart12">#REF!</definedName>
    <definedName name="_91__123Graph_FCHART_13">#REF!</definedName>
    <definedName name="FDP_33_1_aUrv">#REF!</definedName>
    <definedName name="_bdm.29D2AD5D50C0424299039E2B0CEDE94C.edm">#REF!</definedName>
    <definedName name="SensitivityPerfHdr">#REF!</definedName>
    <definedName name="BLPR4620040303143540883_2_3">#REF!</definedName>
    <definedName name="CompanyName1">#REF!</definedName>
    <definedName localSheetId="0" name="Peripherals">#REF!</definedName>
    <definedName name="PFCAP">#REF!</definedName>
    <definedName localSheetId="0" name="sheetlabel">#REF!</definedName>
    <definedName localSheetId="0" name="PFTITANBS">#REF!</definedName>
    <definedName name="CompanyName2">#REF!</definedName>
    <definedName name="PFTITANDOWN">#REF!</definedName>
    <definedName name="_bdm.347ADFB291D74B369E7456FD3EE7BFBA.edm">#REF!</definedName>
    <definedName name="CASESUM1">#REF!</definedName>
    <definedName localSheetId="0" name="testes">#REF!</definedName>
    <definedName localSheetId="0" name="IgdiAcumAno0">#REF!</definedName>
    <definedName name="_Key3">#REF!</definedName>
    <definedName name="prolinks_762210ee893e4db39917e80e80a3b4ba">#REF!</definedName>
    <definedName name="_bdm.D3B85AB1BC6F4728A6EE562CF3425514.edm">#REF!</definedName>
    <definedName localSheetId="0" name="EXPENSE">#REF!</definedName>
    <definedName name="_bdm.B256590B439745F8B807327DA6C88D81.edm">#REF!</definedName>
    <definedName name="BLPR18320040303143550678_2_2">#REF!</definedName>
    <definedName name="_bdm.0CF89D0DA17F428785CC2C791AA38234.edm">#REF!</definedName>
    <definedName name="prolinks_0f7c7189ad53469089043586bd55ff98">#REF!</definedName>
    <definedName name="ccc">#REF!</definedName>
    <definedName name="LBOINC">#REF!</definedName>
    <definedName name="FATOR_08">#REF!</definedName>
    <definedName name="FIXED">#REF!</definedName>
    <definedName name="MULT982e20">#REF!</definedName>
    <definedName localSheetId="0" name="Posicao">#REF!</definedName>
    <definedName name="obs_Mk_O">#REF!</definedName>
    <definedName name="__lb2">#REF!</definedName>
    <definedName name="BLPR2720040303143540843_2_3">#REF!</definedName>
    <definedName name="_bdm.652DA7F8AD47464889E99AA34BC21C73.edm">#REF!</definedName>
    <definedName name="BP">#REF!</definedName>
    <definedName name="prolinks_c10dfa47e8924c5284ec84907414e2a8">#REF!</definedName>
    <definedName name="WIZARD_Y2PEE">#REF!</definedName>
    <definedName localSheetId="0" name="cashshare">#REF!</definedName>
    <definedName name="BLPR20420040303143552009">#REF!</definedName>
    <definedName name="LASTYR">#REF!</definedName>
    <definedName name="_bdm.FD0FB997A59D44D4A7C561D40BAE2B0A.edm">#REF!</definedName>
    <definedName name="Price_Registration2013">#REF!</definedName>
    <definedName localSheetId="0" name="rOptions">#REF!</definedName>
    <definedName name="_rev4">#REF!</definedName>
    <definedName name="_bdm.67A767ED08BB4689B341A6CE52AFFE8D.edm">#REF!</definedName>
    <definedName name="_bdm.C2D0850EB14C4AD5B86F62839572A184.edm">#REF!</definedName>
    <definedName name="x_5">#REF!</definedName>
    <definedName name="MODULE6">#REF!</definedName>
    <definedName name="BLPR1420040303143540813_2_3">#REF!</definedName>
    <definedName name="FDP_84_1_aSrv">#REF!</definedName>
    <definedName name="IMPINCD">#REF!</definedName>
    <definedName name="BLPR16220040303143550317_1_2">#REF!</definedName>
    <definedName name="_lbc21">#REF!</definedName>
    <definedName localSheetId="0" name="upper_left2">#REF!</definedName>
    <definedName name="OutrO_21">#REF!</definedName>
    <definedName name="lbla25">#REF!</definedName>
    <definedName name="__SUB3">#REF!</definedName>
    <definedName name="Amortisation">#REF!</definedName>
    <definedName name="prolinks_36c390c3ff6e4728996fca0c289a6db7">#REF!</definedName>
    <definedName name="MODULE2">#REF!</definedName>
    <definedName localSheetId="0" name="Volatility3">#REF!</definedName>
    <definedName name="Hurdle">#REF!</definedName>
    <definedName name="rPricePaidE1">#REF!</definedName>
    <definedName name="FDP_12_1_aSrv">#REF!</definedName>
    <definedName name="Convertible_Preferred_4_1">#REF!</definedName>
    <definedName name="DCDPitPer2007Q1">#REF!</definedName>
    <definedName name="BLPH132">#REF!</definedName>
    <definedName name="FDP_159_1_aUrv">#REF!</definedName>
    <definedName localSheetId="0" name="q398_rev">#REF!</definedName>
    <definedName name="MarOff">#REF!</definedName>
    <definedName name="COMPS">#REF!</definedName>
    <definedName name="__lbc24">#REF!</definedName>
    <definedName name="julytd">#REF!</definedName>
    <definedName name="Quantidade">#REF!</definedName>
    <definedName name="Base_ReceitasFinanceiras">#REF!</definedName>
    <definedName name="IgpmAcumAno4">#REF!</definedName>
    <definedName name="CliMsgTotDols">#REF!</definedName>
    <definedName name="BLPR4420040303143540883_1_3">#REF!</definedName>
    <definedName name="prolinks_c0b59150b22e44a79037e465f5ea71cb">#REF!</definedName>
    <definedName localSheetId="0" name="Volatility2">#REF!</definedName>
    <definedName name="prolinks_81b0729b06bc4a959e2f2fdfe94f7405">#REF!</definedName>
    <definedName name="Sust_Capex_22">#REF!</definedName>
    <definedName localSheetId="0" name="targ_latest_q">#REF!</definedName>
    <definedName name="ing">#REF!</definedName>
    <definedName name="input2">#REF!</definedName>
    <definedName name="_49__123Graph_CCHART_18">#REF!</definedName>
    <definedName name="months">#REF!</definedName>
    <definedName name="AAAAAAAAAAAAA">#REF!</definedName>
    <definedName name="Variation_in_Pension_Provisions">#REF!</definedName>
    <definedName localSheetId="0" name="Info">#REF!</definedName>
    <definedName name="IgpmAcum7">#REF!</definedName>
    <definedName name="_lbc26">#REF!</definedName>
    <definedName name="_bdm.ADBB9B6EAAF849CDA1A9D147CF7F5595.edm">#REF!</definedName>
    <definedName name="PREM3">#REF!</definedName>
    <definedName name="cusprd02">#REF!</definedName>
    <definedName name="_bdm.D5BDB9C0477943049D8B5DCC01D97A6A.edm">#REF!</definedName>
    <definedName localSheetId="0" name="TAXES">#REF!</definedName>
    <definedName name="_111_0__123Graph_BCHAR">#REF!</definedName>
    <definedName name="BLPR5420040303143542095_1_3">#REF!</definedName>
    <definedName name="uuuuuuuuuu">#REF!</definedName>
    <definedName name="_70__123Graph_DCHART_8">#REF!</definedName>
    <definedName name="FDP_164_1_aUrv">#REF!</definedName>
    <definedName name="_Regression_X">#REF!</definedName>
    <definedName name="HAWK4">#REF!</definedName>
    <definedName name="OMEDGSD">#REF!</definedName>
    <definedName name="Westchester_Penetration_Rate">#REF!</definedName>
    <definedName name="VALMAT">#REF!</definedName>
    <definedName name="BLPH34">#REF!</definedName>
    <definedName name="BLPR16120040303143550297_2_2">#REF!</definedName>
    <definedName localSheetId="0" name="Germany_Sales">#REF!</definedName>
    <definedName name="Dolar8">#REF!</definedName>
    <definedName name="BLPR11120040303143550037_1_1">#REF!</definedName>
    <definedName name="p_LBO_Debt">#REF!</definedName>
    <definedName name="BLPH29">#REF!</definedName>
    <definedName name="___cab1">#REF!</definedName>
    <definedName name="new_4">#REF!</definedName>
    <definedName name="summa">#REF!</definedName>
    <definedName name="BLPR7420040303143549976_1_1">#REF!</definedName>
    <definedName localSheetId="0" name="SAQ.EXP">#REF!</definedName>
    <definedName name="p13.Bk_Depn_Schedule">#REF!</definedName>
    <definedName name="totalprojsetdez">#REF!</definedName>
    <definedName name="valor_arrevsa">#REF!</definedName>
    <definedName name="Business_lines">#REF!</definedName>
    <definedName name="IgpmAcum12">#REF!</definedName>
    <definedName localSheetId="0" name="PresentationNormalA4">#REF!</definedName>
    <definedName name="DRDMA">#REF!</definedName>
    <definedName name="_bdm.E30D27A89FF94B9CA9431C78A76DE2DF.edm">#REF!</definedName>
    <definedName name="Swvu.Client._.Profile.">#REF!</definedName>
    <definedName name="dezytd">#REF!</definedName>
    <definedName localSheetId="0" name="CAST_BUY">#REF!</definedName>
    <definedName name="_bdm.3B1F9AFA009D4417BC47BD3D13D80E64.edm">#REF!</definedName>
    <definedName name="FDP_12_1_aUrv">#REF!</definedName>
    <definedName name="_bdm.28C02D7711374862930ECD66CD0B2C33.edm">#REF!</definedName>
    <definedName name="FDP_57_1_aUrv">#REF!</definedName>
    <definedName name="deprec">#REF!</definedName>
    <definedName name="prolinks_ecfc1433ab96466abfa03b62cd897353">#REF!</definedName>
    <definedName name="trim4">#REF!</definedName>
    <definedName name="DEN">#REF!</definedName>
    <definedName localSheetId="0" name="BetaTable">#REF!</definedName>
    <definedName name="Montly_Date_Header">#REF!</definedName>
    <definedName name="PREM2">#REF!</definedName>
    <definedName name="con">#REF!</definedName>
    <definedName name="BLPR9820040303143550017_1_1">#REF!</definedName>
    <definedName name="BLPR920040303143540803_2_3">#REF!</definedName>
    <definedName name="Price_Analytics2013">#REF!</definedName>
    <definedName name="HAWK5">#REF!</definedName>
    <definedName name="PROJGRAPH">#REF!</definedName>
    <definedName name="achart13">#REF!</definedName>
    <definedName name="print">#REF!</definedName>
    <definedName localSheetId="0" name="CTAS.PG.AFILIADAS">#REF!</definedName>
    <definedName name="BLPR1320040303143540813">#REF!</definedName>
    <definedName name="BLPH44">#REF!</definedName>
    <definedName name="MODULE5">#REF!</definedName>
    <definedName localSheetId="0" name="FX_97">#REF!</definedName>
    <definedName name="RedC_21">#REF!</definedName>
    <definedName name="BLPR14720040303143550077_1_1">#REF!</definedName>
    <definedName name="valor_arren">#REF!</definedName>
    <definedName name="_bdm.0797E5A002CE4E6882EFFF6633878269.edm">#REF!</definedName>
    <definedName name="BLPR3920040303143540863">#REF!</definedName>
    <definedName name="___ANO68">#REF!</definedName>
    <definedName localSheetId="0" name="rDebtRate">#REF!</definedName>
    <definedName name="Debt_6_4">#REF!</definedName>
    <definedName name="lara">#REF!</definedName>
    <definedName name="IMP.RECOLHER">#REF!</definedName>
    <definedName name="_bdm.6792093D8D2045DF952B2ED774FE63FA.edm">#REF!</definedName>
    <definedName name="lbla20">#REF!</definedName>
    <definedName name="___sem1">#REF!</definedName>
    <definedName name="Frequence3">#REF!</definedName>
    <definedName name="FDP_115_1_aDrv">#REF!</definedName>
    <definedName name="FDP_26_1_aUrv">#REF!</definedName>
    <definedName name="Straight_Preferred_1_4">#REF!</definedName>
    <definedName localSheetId="0" name="WORKING_CAPITAL_LINE_OF_CREDIT">#REF!</definedName>
    <definedName localSheetId="0" name="q198_ni">#REF!</definedName>
    <definedName name="BLPR4020040303143540873">#REF!</definedName>
    <definedName name="_bdm.E659841E550A4A1EB0B6C844363AC077.edm">#REF!</definedName>
    <definedName name="BLPR220040303143540773_2_3">#REF!</definedName>
    <definedName name="address4">#REF!</definedName>
    <definedName name="BLPR120040303143540763_3_3">#REF!</definedName>
    <definedName name="LOOP">#REF!</definedName>
    <definedName localSheetId="0" name="cov4a">#REF!</definedName>
    <definedName name="BLPR2120040303143540823">#REF!</definedName>
    <definedName name="q198_rev">#REF!</definedName>
    <definedName name="scvvsd">#REF!</definedName>
    <definedName name="___REV01">#REF!</definedName>
    <definedName name="New_Distrcits_Mapped">#REF!</definedName>
    <definedName name="BLPR3720040303143540863_3_3">#REF!</definedName>
    <definedName name="BLPH49">#REF!</definedName>
    <definedName name="WIZARD_Y2E">#REF!</definedName>
    <definedName name="REPUBLIC">#REF!</definedName>
    <definedName localSheetId="0" name="case1">#REF!</definedName>
    <definedName name="ACCDIL00e30">#REF!</definedName>
    <definedName name="_bdm.FE7E29554D7A49769AD53B781287B701.edm">#REF!</definedName>
    <definedName name="marg1">#REF!</definedName>
    <definedName name="BLPH98">#REF!</definedName>
    <definedName name="HistoType">#REF!</definedName>
    <definedName localSheetId="0" name="Title4">#REF!</definedName>
    <definedName name="BLPR21420040303143552019_1_1">#REF!</definedName>
    <definedName localSheetId="0" name="VENDAS.ME">#REF!</definedName>
    <definedName name="Cellsdown">#REF!</definedName>
    <definedName name="_bdm.6F4BB980B92C4FE5A9D9D9B9DA1B0EFB.edm">#REF!</definedName>
    <definedName name="caselogic">#REF!</definedName>
    <definedName name="BLPR16520040303143550357_2_2">#REF!</definedName>
    <definedName localSheetId="0" name="Tax_Amortization">#REF!</definedName>
    <definedName name="q298_ni">#REF!</definedName>
    <definedName localSheetId="0" name="ticker">#REF!</definedName>
    <definedName name="Hidden5">#REF!</definedName>
    <definedName name="StdRegRec">#REF!</definedName>
    <definedName name="q1_98">#REF!</definedName>
    <definedName name="FDP_89_1_aUrv">#REF!</definedName>
    <definedName name="_bdm.7ECD45AF73FE45C7BCC517C0A173486D.edm">#REF!</definedName>
    <definedName localSheetId="0" name="_emailFILE">#REF!</definedName>
    <definedName name="Variation_in_other_provisions">#REF!</definedName>
    <definedName name="BLPR17420040303143550507">#REF!</definedName>
    <definedName name="FDP_6_1_dUdv">#REF!</definedName>
    <definedName name="p_Depr2">#REF!</definedName>
    <definedName name="DCDPitVol2006YY">#REF!</definedName>
    <definedName name="becTABLE">#REF!</definedName>
    <definedName name="PL_Revenues">#REF!</definedName>
    <definedName localSheetId="0" name="_cab1">#REF!</definedName>
    <definedName name="BLPR18420040303143550698">#REF!</definedName>
    <definedName name="ELPSUM">#REF!</definedName>
    <definedName name="Debt_7_3">#REF!</definedName>
    <definedName localSheetId="0" name="CapIQ">#REF!</definedName>
    <definedName name="MscoInputCell5">#REF!</definedName>
    <definedName name="CONTAS.PAGAR">#REF!</definedName>
    <definedName name="NEW_GW_LIFE">#REF!</definedName>
    <definedName name="p_ConvPref">#REF!</definedName>
    <definedName name="prolinks_a92f998ecd334f9d8eba0cfaca546855">#REF!</definedName>
    <definedName name="_DCF6">#REF!</definedName>
    <definedName name="LionKDXdDateQ1">#REF!</definedName>
    <definedName name="Mortgage_Outstanding">#REF!</definedName>
    <definedName name="__PRN2">#REF!</definedName>
    <definedName name="OrçamentoCapexVivo">#REF!</definedName>
    <definedName localSheetId="0" name="cal_yr">#REF!</definedName>
    <definedName name="BLPR14620040303143550077">#REF!</definedName>
    <definedName name="BLPR7020040303143549966_1_1">#REF!</definedName>
    <definedName name="Debt_9_5">#REF!</definedName>
    <definedName name="_64__123Graph_DCHART_17">#REF!</definedName>
    <definedName name="Low_Premium">#REF!</definedName>
    <definedName name="_SUB1">#REF!</definedName>
    <definedName name="BLPR4820040303143540893_2_3">#REF!</definedName>
    <definedName name="cchart28">#REF!</definedName>
    <definedName name="FDP_23_1_aUrv">#REF!</definedName>
    <definedName name="valor_outcredvsa">#REF!</definedName>
    <definedName name="CASHMINIMUM">#REF!</definedName>
    <definedName name="_LinkPic_CEADA5B6EFEB4B1C8B904B91FB2369F1">#REF!</definedName>
    <definedName name="BLPR6620040303143548134_2_2">#REF!</definedName>
    <definedName name="MscoInputCell14">#REF!</definedName>
    <definedName name="horas">#REF!</definedName>
    <definedName name="BUNDYBS">#REF!</definedName>
    <definedName name="CF_Equity">#REF!</definedName>
    <definedName localSheetId="0" name="NewTicker">#REF!</definedName>
    <definedName name="BLPR3520040303143540853">#REF!</definedName>
    <definedName name="BLPR9520040303143550007_1_1">#REF!</definedName>
    <definedName name="FDP_36_1_aUrv">#REF!</definedName>
    <definedName name="tres">#REF!</definedName>
    <definedName name="FYE">#REF!</definedName>
    <definedName name="q498_shares">#REF!</definedName>
    <definedName name="BLPR1220040303143540803_1_3">#REF!</definedName>
    <definedName name="WIZARD_DATEOFSUBMISSION">#REF!</definedName>
    <definedName name="nov">#REF!</definedName>
    <definedName name="WIZARD_Y2R">#REF!</definedName>
    <definedName name="usd">#REF!</definedName>
    <definedName name="BLPR4920040303143542085_2_3">#REF!</definedName>
    <definedName name="Unit2">#REF!</definedName>
    <definedName name="cchart6">#REF!</definedName>
    <definedName name="Price_LienCheck2016">#REF!</definedName>
    <definedName localSheetId="0" name="AvgPrice">#REF!</definedName>
    <definedName localSheetId="0" name="PartMult">#REF!</definedName>
    <definedName name="North_America">#REF!</definedName>
    <definedName name="_lb21">#REF!</definedName>
    <definedName name="Tipos_de_Varietal">#REF!</definedName>
    <definedName name="FDP_34_1_aUrv">#REF!</definedName>
    <definedName name="Options_and_Warrants_1_4">#REF!</definedName>
    <definedName name="_x25">#REF!</definedName>
    <definedName name="ACCDIL99e20">#REF!</definedName>
    <definedName name="TbTipoReajustePreco">#REF!</definedName>
    <definedName name="Q1_90">#REF!</definedName>
    <definedName localSheetId="0" name="DACLBUD">#REF!</definedName>
    <definedName name="_4__123Graph_AIRR_IRR">#REF!</definedName>
    <definedName name="_65__123Graph_DCHART_18">#REF!</definedName>
    <definedName name="GoodwillPercent">#REF!</definedName>
    <definedName name="LabelChoice">#REF!</definedName>
    <definedName name="BLPR8920040303143549997">#REF!</definedName>
    <definedName name="____row2">#REF!</definedName>
    <definedName name="BLPR3020040303143540843">#REF!</definedName>
    <definedName name="_lb10">#REF!</definedName>
    <definedName name="prolinks_e8df34821c13442183c2796f0f2f14b6">#REF!</definedName>
    <definedName name="LionBDInvCharLookUp">#REF!</definedName>
    <definedName name="SensitivityPerf2">#REF!</definedName>
    <definedName name="LBO30c">#REF!</definedName>
    <definedName name="BLPH45">#REF!</definedName>
    <definedName localSheetId="0" name="DOMINC">#REF!</definedName>
    <definedName name="prolinks_3366616293b44736ae9a1e7481343ec0">#REF!</definedName>
    <definedName localSheetId="0" name="BMFOUT">#REF!</definedName>
    <definedName name="swan">#REF!</definedName>
    <definedName name="FDP_76_1_aSrv">#REF!</definedName>
    <definedName name="STMATRIX12">#REF!</definedName>
    <definedName name="_bdm.150E7C3B54784A689A2848034042C813.edm">#REF!</definedName>
    <definedName name="obs_ConsulO">#REF!</definedName>
    <definedName name="BLPH141">#REF!</definedName>
    <definedName name="s_24">#REF!</definedName>
    <definedName name="DolMedioQ2">#REF!</definedName>
    <definedName name="SAFRA">#REF!</definedName>
    <definedName localSheetId="0" name="Change_in_NWC">#REF!</definedName>
    <definedName name="_bdm.BD01F3F7A5924117BBCE74D96D72BA33.edm">#REF!</definedName>
    <definedName localSheetId="0" name="OctOn">#REF!</definedName>
    <definedName name="q499_rev">#REF!</definedName>
    <definedName name="Debt_14_5">#REF!</definedName>
    <definedName name="_PBT01">#REF!</definedName>
    <definedName name="LionBDADRInvOpinion3">#REF!</definedName>
    <definedName name="BLPR7620040303143549976_1_1">#REF!</definedName>
    <definedName name="BLPR17620040303143550547_2_2">#REF!</definedName>
    <definedName name="WIZARD_Y3Q1R">#REF!</definedName>
    <definedName name="_REV01">#REF!</definedName>
    <definedName name="Total_operations">#REF!</definedName>
    <definedName name="valor_outcrednsa">#REF!</definedName>
    <definedName name="Sust_Opex_24">#REF!</definedName>
    <definedName name="____DCF7">#REF!</definedName>
    <definedName name="PREMA">#REF!</definedName>
    <definedName name="cchart14">#REF!</definedName>
    <definedName localSheetId="0" name="ofis_debt">#REF!</definedName>
    <definedName name="BdPeriodo">#REF!</definedName>
    <definedName name="FDP_94_1_aUrv">#REF!</definedName>
    <definedName name="_bdm.413CEE0BE1F94BDDA6EF09D369664620.edm">#REF!</definedName>
    <definedName name="_DCF5">#REF!</definedName>
    <definedName name="BLPH23">#REF!</definedName>
    <definedName name="rEPS2001Local">#REF!</definedName>
    <definedName name="BLPR1820040303143540823_3_3">#REF!</definedName>
    <definedName name="BOVOUT">#REF!</definedName>
    <definedName name="Debt_2_2">#REF!</definedName>
    <definedName localSheetId="0" name="summa">#REF!</definedName>
    <definedName name="Debt_10_5">#REF!</definedName>
    <definedName name="CF_Inventory">#REF!</definedName>
    <definedName name="_x32">#REF!</definedName>
    <definedName name="_q234">#REF!</definedName>
    <definedName name="__123Graph_AYTDSALES">#REF!</definedName>
    <definedName localSheetId="0" name="Hourly_Customer_Service_Rate_OUT">#REF!</definedName>
    <definedName name="WOUND_SELLYEAR">#REF!</definedName>
    <definedName localSheetId="0" name="IncrementCell">#REF!</definedName>
    <definedName name="ççç">#REF!</definedName>
    <definedName name="BLPH15">#REF!</definedName>
    <definedName name="__123Graph_BSIDECO">#REF!</definedName>
    <definedName localSheetId="0" name="wc">#REF!</definedName>
    <definedName name="_row2">#REF!</definedName>
    <definedName name="LionMPE">#REF!</definedName>
    <definedName name="IgdiAcumAno2">#REF!</definedName>
    <definedName name="rEPS2006USD">#REF!</definedName>
    <definedName name="FDP_142_1_lDrv">#REF!</definedName>
    <definedName name="BLPR2820040303143540843_2_3">#REF!</definedName>
    <definedName name="BLPR10820040303143550027">#REF!</definedName>
    <definedName name="DOP">#REF!</definedName>
    <definedName name="PreCalcProdCosts">#REF!</definedName>
    <definedName name="Price_Worflow2016">#REF!</definedName>
    <definedName name="Convertible_Preferred_4_3">#REF!</definedName>
    <definedName localSheetId="0" name="NAMATH_PRICE">#REF!</definedName>
    <definedName localSheetId="0" name="MAHCASH">#REF!</definedName>
    <definedName name="hidebs">#REF!</definedName>
    <definedName localSheetId="0" name="co_name">#REF!</definedName>
    <definedName localSheetId="0" name="Nil">#REF!</definedName>
    <definedName name="BLPR4820040303143540893_1_3">#REF!</definedName>
    <definedName name="_bdm.5B48CFF7344B4840812C04A612B4AC0F.edm">#REF!</definedName>
    <definedName name="VALORES_1">#REF!</definedName>
    <definedName name="BLPH108">#REF!</definedName>
    <definedName name="achart12">#REF!</definedName>
    <definedName name="q399_rev">#REF!</definedName>
    <definedName name="BALANCE">#REF!</definedName>
    <definedName name="cchart11">#REF!</definedName>
    <definedName localSheetId="0" name="Percent_of_Food_Dollars_Ending">#REF!</definedName>
    <definedName name="_PBT02">#REF!</definedName>
    <definedName name="Convertible_Preferred_2_4">#REF!</definedName>
    <definedName name="lamdha">#REF!</definedName>
    <definedName name="BLPR13520040303143550067_1_1">#REF!</definedName>
    <definedName name="BLPR6120040303143548074_1_1">#REF!</definedName>
    <definedName name="_88__123Graph_FCHART_10">#REF!</definedName>
    <definedName name="_pg1">#REF!</definedName>
    <definedName localSheetId="0" name="Questar_Assums">#REF!</definedName>
    <definedName name="SINGM">#REF!</definedName>
    <definedName name="mezzpik">#REF!</definedName>
    <definedName name="options">#REF!</definedName>
    <definedName name="LionKDQ1">#REF!</definedName>
    <definedName name="BLPR3120040303143540853_1_3">#REF!</definedName>
    <definedName localSheetId="0" name="Retire_Debt">#REF!</definedName>
    <definedName name="BLPR1020040303143540803_2_3">#REF!</definedName>
    <definedName name="BLPH22">#REF!</definedName>
    <definedName name="_4A">#REF!</definedName>
    <definedName name="_le31">#REF!</definedName>
    <definedName name="_21_0ACwvu.Pag">#REF!</definedName>
    <definedName name="BLPR7120040303143549966_1_1">#REF!</definedName>
    <definedName name="RedC_23">#REF!</definedName>
    <definedName name="BLPH36">#REF!</definedName>
    <definedName name="cal94_eps">#REF!</definedName>
    <definedName name="desvios">#REF!</definedName>
    <definedName name="IMP_YEAR">#REF!</definedName>
    <definedName name="_bdm.D2B9511B280A4D2DAB26EDC0AEBDE3B1.edm">#REF!</definedName>
    <definedName name="BLPR15620040303143550227_2_2">#REF!</definedName>
    <definedName name="_la3">#REF!</definedName>
    <definedName name="Yearly_Date_Header">#REF!</definedName>
    <definedName name="AMOUNT">#REF!</definedName>
    <definedName localSheetId="0" name="PdrPreRec">#REF!</definedName>
    <definedName name="IgdiAcumAno8">#REF!</definedName>
    <definedName name="Sust_Opex_22">#REF!</definedName>
    <definedName name="prolinks_673f024432d34ea3bd4c47393a8848ee">#REF!</definedName>
    <definedName name="upper_left2">#REF!</definedName>
    <definedName name="NSTRATMULT">#REF!</definedName>
    <definedName name="_bdm.1D8C28FD1FD54D81BB87D632E163E86F.edm">#REF!</definedName>
    <definedName name="Targ05NetInc1">#REF!</definedName>
    <definedName name="IgdiAcumAno3">#REF!</definedName>
    <definedName name="_11A">#REF!</definedName>
    <definedName localSheetId="0" name="FAS">#REF!</definedName>
    <definedName name="New_Units">#REF!</definedName>
    <definedName localSheetId="0" name="RiskPrem">#REF!</definedName>
    <definedName localSheetId="0" name="SW">#REF!</definedName>
    <definedName localSheetId="0" name="warrant">#REF!</definedName>
    <definedName localSheetId="0" name="BALANCE">#REF!</definedName>
    <definedName name="WIZARD_Y3Q1E">#REF!</definedName>
    <definedName name="cash_target">#REF!</definedName>
    <definedName name="cchart1">#REF!</definedName>
    <definedName name="___DCF5">#REF!</definedName>
    <definedName name="CONS_YEAR">#REF!</definedName>
    <definedName name="Frequence">#REF!</definedName>
    <definedName name="GAPIncome">#REF!</definedName>
    <definedName localSheetId="0" name="DRV">#REF!</definedName>
    <definedName localSheetId="0" name="operating_case">#REF!</definedName>
    <definedName name="q398_rev">#REF!</definedName>
    <definedName name="INC">#REF!</definedName>
    <definedName name="__123Graph_CCAPRO">#REF!</definedName>
    <definedName name="Q1_94">#REF!</definedName>
    <definedName name="ENDOCASHD">#REF!</definedName>
    <definedName name="LBODP">#REF!</definedName>
    <definedName name="Quadro_VI___Meios_de_pagamento_e_componentes">#REF!</definedName>
    <definedName name="LionPCWorksheetName">#REF!</definedName>
    <definedName name="TTF96A">#REF!</definedName>
    <definedName name="_aaa11">#REF!</definedName>
    <definedName name="DESP.ADM">#REF!</definedName>
    <definedName localSheetId="0" name="FCFb">#REF!</definedName>
    <definedName name="_2">#REF!</definedName>
    <definedName name="prolinks_a7ca8556861e456cb0a5001edf2ad7fd">#REF!</definedName>
    <definedName name="IgpmAcumAno2">#REF!</definedName>
    <definedName name="IgpmAcumAno7">#REF!</definedName>
    <definedName name="_ld26">#REF!</definedName>
    <definedName localSheetId="0" name="STRATMULT">#REF!</definedName>
    <definedName localSheetId="0" name="CurrentYear">#REF!</definedName>
    <definedName localSheetId="0" name="ABRSP">#REF!</definedName>
    <definedName name="StdRegSnd">#REF!</definedName>
    <definedName name="BLPR2820040303143540843_1_3">#REF!</definedName>
    <definedName name="seglbo">#REF!</definedName>
    <definedName name="prolinks_1f959d5fe0244f55ade2ad39158c0ae8">#REF!</definedName>
    <definedName name="_bdm.878050198CED412C8E624ADFFA0C8290.edm">#REF!</definedName>
    <definedName localSheetId="0" name="p_BS">#REF!</definedName>
    <definedName name="Net_Interest">#REF!</definedName>
    <definedName name="_bdm.E46157E129E142528F964A2374A7707E.edm">#REF!</definedName>
    <definedName name="__lbc29">#REF!</definedName>
    <definedName name="p_DebtBreakdownD">#REF!</definedName>
    <definedName localSheetId="0" name="EDA">#REF!</definedName>
    <definedName localSheetId="0" name="AprOff">#REF!</definedName>
    <definedName name="Options_and_Warrants_2_3">#REF!</definedName>
    <definedName name="mar">#REF!</definedName>
    <definedName name="FDP_28_1_aUrv">#REF!</definedName>
    <definedName name="BLPR15920040303143550267_2_2">#REF!</definedName>
    <definedName name="BLPR3320040303143540853">#REF!</definedName>
    <definedName name="MSACCDIL01">#REF!</definedName>
    <definedName name="S_F">#REF!</definedName>
    <definedName name="____sem2">#REF!</definedName>
    <definedName name="__123Graph_XYTDSALES">#REF!</definedName>
    <definedName localSheetId="0" name="IPO_Size">#REF!</definedName>
    <definedName name="_bdm.5A0CC2244F594AD88E834D956AE0E90D.edm">#REF!</definedName>
    <definedName name="Months_to_full_usage">#REF!</definedName>
    <definedName name="_____DCF8">#REF!</definedName>
    <definedName name="MULT982f40">#REF!</definedName>
    <definedName name="rCurrentPriceLocal">#REF!</definedName>
    <definedName name="LTCelpe">#REF!</definedName>
    <definedName name="footnote">#REF!</definedName>
    <definedName name="Convertible_Debt_5_4">#REF!</definedName>
    <definedName name="fy97_ni">#REF!</definedName>
    <definedName name="cal98_rev">#REF!</definedName>
    <definedName localSheetId="0" name="j">#REF!</definedName>
    <definedName localSheetId="0" name="Selic1">#REF!</definedName>
    <definedName name="BLPR20320040303143552009_1_1">#REF!</definedName>
    <definedName name="_bdm.DBF71A54F63744AC9C0D3832B886BFC7.edm">#REF!</definedName>
    <definedName name="__lbc7">#REF!</definedName>
    <definedName name="ARINV">#REF!</definedName>
    <definedName name="_bdm.DB63DC6AA32C4F4BBC75CD317DB33599.edm">#REF!</definedName>
    <definedName name="_bdm.0F693475C1034D8D854562D050455BB7.edm">#REF!</definedName>
    <definedName name="Personnel_Costs">#REF!</definedName>
    <definedName name="Charts">#REF!</definedName>
    <definedName name="_12__123Graph_BMOF_NB">#REF!</definedName>
    <definedName name="ACCDIL01d40">#REF!</definedName>
    <definedName name="___ANO95">#REF!</definedName>
    <definedName name="FDP_39_1_aUrv">#REF!</definedName>
    <definedName name="growth">#REF!</definedName>
    <definedName name="_a2">#REF!</definedName>
    <definedName name="Convertible_Debt_6_3">#REF!</definedName>
    <definedName name="ofis_stdebt">#REF!</definedName>
    <definedName name="_TSU92">#REF!</definedName>
    <definedName name="next_qtr_eps">#REF!</definedName>
    <definedName name="q297_rev">#REF!</definedName>
    <definedName name="Blank3">#REF!</definedName>
    <definedName name="__x25">#REF!</definedName>
    <definedName name="_bdm.76E3880AFB3C497492C42DA80BFDC44D.edm">#REF!</definedName>
    <definedName name="LBO40f">#REF!</definedName>
    <definedName name="______FCF5">#REF!</definedName>
    <definedName name="_bdm.29E902264FE24D69A559FD42CFCF841A.edm">#REF!</definedName>
    <definedName name="_39__123Graph_BCHART_5">#REF!</definedName>
    <definedName name="LionBDPriceObj">#REF!</definedName>
    <definedName name="LionKDQ2">#REF!</definedName>
    <definedName name="MARY_NEW_GW_LIFE">#REF!</definedName>
    <definedName localSheetId="0" name="original_inv_no">#REF!</definedName>
    <definedName name="_bdm.70881BE8813A460D85E5BEC7CB723674.edm">#REF!</definedName>
    <definedName name="_68__123Graph_DCHART_6">#REF!</definedName>
    <definedName name="_bdm.737DA5D767D24DFCBA70D2C59720FDD0.edm">#REF!</definedName>
    <definedName name="FDP_109_1_aUrv">#REF!</definedName>
    <definedName name="p_LBO_IS">#REF!</definedName>
    <definedName localSheetId="0" name="guide">#REF!</definedName>
    <definedName name="DU_12">#REF!</definedName>
    <definedName name="_bdm.FDF6EB70FD864825A3BCD3C3A467DEFC.edm">#REF!</definedName>
    <definedName localSheetId="0" name="Active_Users">#REF!</definedName>
    <definedName name="prolinks_989aca0569e249c68303fb0f5ecab6f1">#REF!</definedName>
    <definedName name="Footer">#REF!</definedName>
    <definedName name="prolinks_e4877d9244b249b0bb6c162271642767">#REF!</definedName>
    <definedName name="_89__123Graph_FCHART_11">#REF!</definedName>
    <definedName name="__123Graph_XPET">#REF!</definedName>
    <definedName name="BLPH74">#REF!</definedName>
    <definedName name="_la4">#REF!</definedName>
    <definedName name="___FCF5">#REF!</definedName>
    <definedName name="__123Graph_XEVAC">#REF!</definedName>
    <definedName name="BLPH122">#REF!</definedName>
    <definedName name="_53__123Graph_CCHART_7">#REF!</definedName>
    <definedName localSheetId="0" name="ofis">#REF!</definedName>
    <definedName name="__lbc23">#REF!</definedName>
    <definedName name="__ANO76">#REF!</definedName>
    <definedName localSheetId="0" name="Rev_Growth_Assumptions">#REF!</definedName>
    <definedName name="_lb30">#REF!</definedName>
    <definedName localSheetId="0" name="ChaveSuafiEmSuafi">#REF!</definedName>
    <definedName localSheetId="0" name="DUP.DESC">#REF!</definedName>
    <definedName localSheetId="0" name="right_border">#REF!</definedName>
    <definedName name="_aaa14">#REF!</definedName>
    <definedName name="Debt_9_2">#REF!</definedName>
    <definedName name="____DCF5">#REF!</definedName>
    <definedName localSheetId="0" name="CL">#REF!</definedName>
    <definedName name="prolinks_97947f8b6b564330bbe1489ab8ea5f83">#REF!</definedName>
    <definedName localSheetId="0" name="Page_2">#REF!</definedName>
    <definedName name="NATLASSOCFEE">#REF!</definedName>
    <definedName name="DELSUM">#REF!</definedName>
    <definedName localSheetId="0" name="MemberPrint">#REF!</definedName>
    <definedName name="BLPR2620040303143540833">#REF!</definedName>
    <definedName name="Pre_Tax_Profit">#REF!</definedName>
    <definedName name="BLPR21920040303143552180_1_2">#REF!</definedName>
    <definedName name="Maximum_Customer_Service_Agents">#REF!</definedName>
    <definedName name="Q3_87">#REF!</definedName>
    <definedName name="bchart5">#REF!</definedName>
    <definedName name="CF_Depreciation">#REF!</definedName>
    <definedName name="_bdm.DE3557A4A3644BE9A60DCD1B86BC220A.edm">#REF!</definedName>
    <definedName name="May">#REF!</definedName>
    <definedName name="BLPR15420040303143550087">#REF!</definedName>
    <definedName name="omed_lbo">#REF!</definedName>
    <definedName name="FDP_156_1_aDrv">#REF!</definedName>
    <definedName name="dchart26">#REF!</definedName>
    <definedName localSheetId="0" name="check2">#REF!</definedName>
    <definedName name="DCM">#REF!</definedName>
    <definedName name="AugOff">#REF!</definedName>
    <definedName name="_57__123Graph_DCHART_10">#REF!</definedName>
    <definedName name="__la7">#REF!</definedName>
    <definedName localSheetId="0" name="p_Assump">#REF!</definedName>
    <definedName name="DeParaGerencialBmf">#REF!</definedName>
    <definedName name="_la8">#REF!</definedName>
    <definedName name="OnlineProspectsIV">#REF!</definedName>
    <definedName name="FDP_85_1_aDrv">#REF!</definedName>
    <definedName name="IR.ESTADO">#REF!</definedName>
    <definedName localSheetId="0" name="DATEANTERIOR">#REF!</definedName>
    <definedName name="BLPR3820040303143540863_1_3">#REF!</definedName>
    <definedName name="CONPRYR">#REF!</definedName>
    <definedName name="QtrShares">#REF!</definedName>
    <definedName name="p_LBO_returncalcb">#REF!</definedName>
    <definedName name="prolinks_072fd603c47144558030d8b89b32cd6a">#REF!</definedName>
    <definedName name="Straight_Preferred_2_4">#REF!</definedName>
    <definedName name="prolinks_400896d03660400fa5f1776b2967543e">#REF!</definedName>
    <definedName localSheetId="0" name="gt">#REF!</definedName>
    <definedName name="bchart4">#REF!</definedName>
    <definedName name="FDP_108_1_aUrv">#REF!</definedName>
    <definedName name="RiskFreeR">#REF!</definedName>
    <definedName name="LBO30e">#REF!</definedName>
    <definedName name="LionBDADRCurrency">#REF!</definedName>
    <definedName name="OctOn">#REF!</definedName>
    <definedName name="__123Graph_FPET">#REF!</definedName>
    <definedName name="BLPR11420040303143550037">#REF!</definedName>
    <definedName name="_FCF4">#REF!</definedName>
    <definedName name="_bdm.A55D997D0CA144319D5F4AD96065869F.edm">#REF!</definedName>
    <definedName name="Convertible_Preferred_6_1">#REF!</definedName>
    <definedName name="IgpdiAcum11">#REF!</definedName>
    <definedName name="____pg1">#REF!</definedName>
    <definedName name="_8A">#REF!</definedName>
    <definedName name="_bdm.68205EFF4CD24A97BC0EC7731D2D29A9.edm">#REF!</definedName>
    <definedName name="_lb17">#REF!</definedName>
    <definedName name="____ANN1">#REF!</definedName>
    <definedName name="ENDO_SELLYEAR">#REF!</definedName>
    <definedName name="rAcquiror">#REF!</definedName>
    <definedName name="KELSUM">#REF!</definedName>
    <definedName name="___FAT1">#REF!</definedName>
    <definedName localSheetId="0" name="IR_1">#REF!</definedName>
    <definedName name="_3__123Graph_AGROSS_MARGINS">#REF!</definedName>
    <definedName name="FDP_8_1_aDrv">#REF!</definedName>
    <definedName name="_____DCF9">#REF!</definedName>
    <definedName localSheetId="0" name="Parent_Company_Dividend">#REF!</definedName>
    <definedName name="BLPR12220040303143550047_1_1">#REF!</definedName>
    <definedName name="DCDElePer2006YY">#REF!</definedName>
    <definedName name="bchar10">#REF!</definedName>
    <definedName name="__row1">#REF!</definedName>
    <definedName name="__123Graph_DCAPRO">#REF!</definedName>
    <definedName localSheetId="0" name="STMATRIX10">#REF!</definedName>
    <definedName name="BLPR5720040303143542105_1_3">#REF!</definedName>
    <definedName name="LionBDQRQAdd">#REF!</definedName>
    <definedName name="CL">#REF!</definedName>
    <definedName name="FDP_0_1_aUrv">#REF!</definedName>
    <definedName name="PostTaxReal">#REF!</definedName>
    <definedName localSheetId="0" name="z">#REF!</definedName>
    <definedName name="_11__123Graph_DGROWTH_REVS_A">#REF!</definedName>
    <definedName name="share_table">#REF!</definedName>
    <definedName name="__REV03">#REF!</definedName>
    <definedName localSheetId="0" name="HYINTEREST">#REF!</definedName>
    <definedName name="Debt_8_1">#REF!</definedName>
    <definedName name="VC">#REF!</definedName>
    <definedName name="BLPR19520040303143550928_1_2">#REF!</definedName>
    <definedName name="DRCZ">#REF!</definedName>
    <definedName name="Start">#REF!</definedName>
    <definedName localSheetId="0" name="AGOSP">#REF!</definedName>
    <definedName name="Selic1">#REF!</definedName>
    <definedName localSheetId="0" name="Avg_Weekly_Order_Size_Existing">#REF!</definedName>
    <definedName name="_____DCF11">#REF!</definedName>
    <definedName name="IMPOS.DIF.PASSIVO">#REF!</definedName>
    <definedName name="PROV.IR.CS">#REF!</definedName>
    <definedName name="_29__123Graph_ACHART_23">#REF!</definedName>
    <definedName localSheetId="0" name="BS_AR">#REF!</definedName>
    <definedName name="_____pal1">#REF!</definedName>
    <definedName name="__pal1">#REF!</definedName>
    <definedName name="DAD">#REF!</definedName>
    <definedName localSheetId="0" name="rDA10K">#REF!</definedName>
    <definedName name="New_Outstanding">#REF!</definedName>
    <definedName name="_____sbs1">#REF!</definedName>
    <definedName localSheetId="0" name="Net_Interest">#REF!</definedName>
    <definedName name="_bdm.38737A35BC3A413AB4949A35F4823BCB.edm">#REF!</definedName>
    <definedName localSheetId="0" name="usd">#REF!</definedName>
    <definedName name="DATEFINAL">#REF!</definedName>
    <definedName name="_bdm.A0A90A8A6987458894DBF99B080853C5.edm">#REF!</definedName>
    <definedName name="FDP_13_1_aUrv">#REF!</definedName>
    <definedName name="_bdm.35FA8CE469AC49949D5F5F7BB490EE4C.edm">#REF!</definedName>
    <definedName name="LionBDADRSharesCells">#REF!</definedName>
    <definedName name="_bdm.B3B3016041354146AC8CAA313939E510.edm">#REF!</definedName>
    <definedName name="_bdm.A813BA84A6DA4816B98F6DB66ECF0216.edm">#REF!</definedName>
    <definedName name="_ANO91">#REF!</definedName>
    <definedName name="__123Graph_XHIALCOOL">#REF!</definedName>
    <definedName name="LionBDFreeFloat">#REF!</definedName>
    <definedName name="BLPR18920040303143550798_2_2">#REF!</definedName>
    <definedName name="_bdm.D712AA8444B04BEFBAF6F4F61A46CC28.edm">#REF!</definedName>
    <definedName name="COMPENSACAO">#REF!</definedName>
    <definedName name="CETIP">#REF!</definedName>
    <definedName name="CF_Convertible_Debt">#REF!</definedName>
    <definedName name="Start_Price">#REF!</definedName>
    <definedName name="imp_lbo">#REF!</definedName>
    <definedName name="BS_Straight_Preferred">#REF!</definedName>
    <definedName name="__EPS03">#REF!</definedName>
    <definedName name="__ANO81">#REF!</definedName>
    <definedName name="tttttttttt">#REF!</definedName>
    <definedName name="BLPR5520040303143542095_3_3">#REF!</definedName>
    <definedName localSheetId="0" name="PrintGraph">#REF!</definedName>
    <definedName name="_bdm.3AA314648F7D41538F469775CF3772CD.edm">#REF!</definedName>
    <definedName name="BLPR20720040303143552009">#REF!</definedName>
    <definedName name="Other_Creditors">#REF!</definedName>
    <definedName name="BLPH83">#REF!</definedName>
    <definedName name="IgpmAcumAno9">#REF!</definedName>
    <definedName name="marg3">#REF!</definedName>
    <definedName name="BLPR12120040303143550047">#REF!</definedName>
    <definedName name="tranche_c">#REF!</definedName>
    <definedName name="LBOIRR">#REF!</definedName>
    <definedName name="Q1_89">#REF!</definedName>
    <definedName name="BLPR16320040303143550327_1_2">#REF!</definedName>
    <definedName name="cf">#REF!</definedName>
    <definedName name="p_DebtSummary">#REF!</definedName>
    <definedName name="BLPR2020040303143540823">#REF!</definedName>
    <definedName name="_x22">#REF!</definedName>
    <definedName name="MUTUO.ATIVO">#REF!</definedName>
    <definedName name="AcqNetDebt">#REF!</definedName>
    <definedName name="__123Graph_EMTBE">#REF!</definedName>
    <definedName name="FDP_154_1_aDrv">#REF!</definedName>
    <definedName name="Debt_1_2">#REF!</definedName>
    <definedName name="macro3">#REF!</definedName>
    <definedName name="_bdm.0580A6830C6143239F2DA2FD534B7F50.edm">#REF!</definedName>
    <definedName name="WOUNDBSD">#REF!</definedName>
    <definedName localSheetId="0" name="RATE_MASTER">#REF!</definedName>
    <definedName name="_bdm.97744E9B8EA04F92969837BC1DADEDC1.edm">#REF!</definedName>
    <definedName name="AssetBeta">#REF!</definedName>
    <definedName name="q298_shares">#REF!</definedName>
    <definedName name="IpcaAcum11">#REF!</definedName>
    <definedName name="WIZARD_AVERAGETRADINGVOLUME">#REF!</definedName>
    <definedName name="cabeçalho">#REF!</definedName>
    <definedName localSheetId="0" name="NewCheck">#REF!</definedName>
    <definedName name="______FCF7">#REF!</definedName>
    <definedName name="_bdm.D48F732E64CD4C6CAA351D940CBA6AC8.edm">#REF!</definedName>
    <definedName name="obs_Sust_OutrC">#REF!</definedName>
    <definedName localSheetId="0" name="Timing_Variance_Of_Issue_Factor">#REF!</definedName>
    <definedName localSheetId="0" name="PREM2">#REF!</definedName>
    <definedName name="_lbc28">#REF!</definedName>
    <definedName name="_bdm.9371EE78A5944C77AC851A0A9D7EE1FD.edm">#REF!</definedName>
    <definedName name="bchart19">#REF!</definedName>
    <definedName name="FDP_90_1_aUrv">#REF!</definedName>
    <definedName name="DCDElePer2011YY">#REF!</definedName>
    <definedName name="__lbc12">#REF!</definedName>
    <definedName name="___FCF4">#REF!</definedName>
    <definedName name="_45__123Graph_CCHART_14">#REF!</definedName>
    <definedName name="Debt_1_3">#REF!</definedName>
    <definedName name="Detail_Expense_Summary">#REF!</definedName>
    <definedName name="IgpmAcumAno6">#REF!</definedName>
    <definedName name="_bdm.3616139BBA714D3FA20420CA64DA575E.edm">#REF!</definedName>
    <definedName name="FEVSP">#REF!</definedName>
    <definedName name="ConvPrefHide">#REF!</definedName>
    <definedName name="WIZARD_Y3E">#REF!</definedName>
    <definedName localSheetId="0" name="DolMedioQ1">#REF!</definedName>
    <definedName name="SAREV2">#REF!</definedName>
    <definedName name="DCDElePer2007Q2">#REF!</definedName>
    <definedName name="error">#REF!</definedName>
    <definedName localSheetId="0" name="PERSONNEL_ANALYSIS">#REF!</definedName>
    <definedName name="BLPH50">#REF!</definedName>
    <definedName name="Price_Desktop2016">#REF!</definedName>
    <definedName name="__123Graph_APET">#REF!</definedName>
    <definedName name="MULT981c">#REF!</definedName>
    <definedName name="_bdm.263D40A09EEC4EE685A13DF0572663A2.edm">#REF!</definedName>
    <definedName name="TRASRA">#REF!</definedName>
    <definedName name="__ANN1">#REF!</definedName>
    <definedName localSheetId="0" name="FORNEC.AFILIADAS">#REF!</definedName>
    <definedName name="NEWGOODWILL">#REF!</definedName>
    <definedName name="WIZARD_Y1YEARE">#REF!</definedName>
    <definedName localSheetId="0" name="_dcf1">#REF!</definedName>
    <definedName name="prolinks_20ba2a7138684040a6c964a3fb66dcb9">#REF!</definedName>
    <definedName name="Netdebt">#REF!</definedName>
    <definedName localSheetId="0" name="CapExGrowth">#REF!</definedName>
    <definedName name="BS_Convertible_Preferred">#REF!</definedName>
    <definedName name="BLPR5520040303143542095_2_3">#REF!</definedName>
    <definedName localSheetId="0" name="DMA">#REF!</definedName>
    <definedName name="MARY_ACQ">#REF!</definedName>
    <definedName localSheetId="0" name="CFPS__DM">#REF!</definedName>
    <definedName name="BLPR18220040303143550657">#REF!</definedName>
    <definedName localSheetId="0" name="February">#REF!</definedName>
    <definedName name="prolinks_21dc43c3a015473bb609d532e5edab30">#REF!</definedName>
    <definedName name="DU_6">#REF!</definedName>
    <definedName name="__ANO83">#REF!</definedName>
    <definedName name="Output_C_Outr">#REF!</definedName>
    <definedName name="FDP_18_1_aUrv">#REF!</definedName>
    <definedName name="_4__123Graph_AGROWTH_REVS_A">#REF!</definedName>
    <definedName name="dcasfasdfa">#REF!</definedName>
    <definedName name="scale">#REF!</definedName>
    <definedName localSheetId="0" name="net">#REF!</definedName>
    <definedName name="revenuebuildup">#REF!</definedName>
    <definedName name="Ltitle">#REF!</definedName>
    <definedName localSheetId="0" name="tg">#REF!</definedName>
    <definedName localSheetId="0" name="Start">#REF!</definedName>
    <definedName name="BLPR16420040303143550347_1_2">#REF!</definedName>
    <definedName name="SymbolOnOff">#REF!</definedName>
    <definedName name="__x7">#REF!</definedName>
    <definedName name="FDP_22_1_aUrv">#REF!</definedName>
    <definedName name="BLPR22220040303143552260_2_2">#REF!</definedName>
    <definedName name="IPO_Size">#REF!</definedName>
    <definedName name="____FCF3">#REF!</definedName>
    <definedName name="p_DebtBreakdownC">#REF!</definedName>
    <definedName name="_bdm.69400902903841CF923F767068352E05.edm">#REF!</definedName>
    <definedName name="achart31">#REF!</definedName>
    <definedName name="__lbc4">#REF!</definedName>
    <definedName name="BLPR18520040303143550718_2_2">#REF!</definedName>
    <definedName name="_bdm.657DD2716193468ABE2D48B0FC531B96.edm">#REF!</definedName>
    <definedName name="____SUB1">#REF!</definedName>
    <definedName name="BLPR19320040303143550878_1_2">#REF!</definedName>
    <definedName localSheetId="0" name="Purchase_Accounting">#REF!</definedName>
    <definedName name="MEDIA">#REF!</definedName>
    <definedName name="EMBCELCR">#REF!</definedName>
    <definedName name="BaseModel">#REF!</definedName>
    <definedName name="BLPR420040303143540783_1_3">#REF!</definedName>
    <definedName name="BLPR320040303143540773">#REF!</definedName>
    <definedName name="Debt_3_4">#REF!</definedName>
    <definedName name="_bdm.516AD5B9BB31413F8837342095D980DF.edm">#REF!</definedName>
    <definedName localSheetId="0" name="cast_lbo">#REF!</definedName>
    <definedName name="_TRC93">#REF!</definedName>
    <definedName name="BLPR10620040303143550027">#REF!</definedName>
    <definedName name="FDP_30_1_aDrv">#REF!</definedName>
    <definedName name="MAIVIN">#REF!</definedName>
    <definedName name="BLPH158">#REF!</definedName>
    <definedName localSheetId="0" name="upper_left1">#REF!</definedName>
    <definedName name="IGNORE">#REF!</definedName>
    <definedName name="valor_credvsa">#REF!</definedName>
    <definedName name="BLPR16020040303143550287_2_2">#REF!</definedName>
    <definedName name="Annotate_Area">#REF!</definedName>
    <definedName name="Change_in_NWC">#REF!</definedName>
    <definedName name="____DCF4">#REF!</definedName>
    <definedName name="ComparableAnalysis">#REF!</definedName>
    <definedName name="BLPR20320040303143552009">#REF!</definedName>
    <definedName name="close_price_date">#REF!</definedName>
    <definedName localSheetId="0" name="DAR">#REF!</definedName>
    <definedName name="Convertible_Debt_2_5">#REF!</definedName>
    <definedName name="achart14">#REF!</definedName>
    <definedName name="LionBDInvOpinion2LookUp">#REF!</definedName>
    <definedName name="__rev3">#REF!</definedName>
    <definedName localSheetId="0" name="jan">#REF!</definedName>
    <definedName name="FINANC.LP.AF">#REF!</definedName>
    <definedName name="TRANSINPUTS">#REF!</definedName>
    <definedName name="CONS_SELLYEAR">#REF!</definedName>
    <definedName name="DEM_INV_X">#REF!</definedName>
    <definedName name="BLPR11620040303143550037_1_1">#REF!</definedName>
    <definedName name="ASSOC">#REF!</definedName>
    <definedName name="Bank_Shares">#REF!</definedName>
    <definedName name="_aaa16">#REF!</definedName>
    <definedName name="_____FCF1">#REF!</definedName>
    <definedName name="prolinks_67a5a281980e4b95a3d877a775fd3f22">#REF!</definedName>
    <definedName name="BLPR15220040303143550087_1_1">#REF!</definedName>
    <definedName name="yyyyyy">#REF!</definedName>
    <definedName name="_SUB5">#REF!</definedName>
    <definedName name="_bdm.7341FC734306498C8BCBF1F6BE64C677.edm">#REF!</definedName>
    <definedName name="_bdm.2BC1DEEF76854BAEA041573B0ADB06BC.edm">#REF!</definedName>
    <definedName name="__123Graph_XHIDRATADO">#REF!</definedName>
    <definedName name="BLPH176">#REF!</definedName>
    <definedName name="warrants">#REF!</definedName>
    <definedName localSheetId="0" name="MAHBS">#REF!</definedName>
    <definedName name="Options_and_Warrants_2_4">#REF!</definedName>
    <definedName name="BLPR22020040303143552210_2_2">#REF!</definedName>
    <definedName name="FCCA">#REF!</definedName>
    <definedName name="BLPR11020040303143550027">#REF!</definedName>
    <definedName name="Straight_Preferred_5_1">#REF!</definedName>
    <definedName name="prolinks_9a78a772de4e483a99add1283942f588">#REF!</definedName>
    <definedName localSheetId="0" name="MOLDING">#REF!</definedName>
    <definedName localSheetId="0" name="rate">#REF!</definedName>
    <definedName localSheetId="0" name="Processos">#REF!</definedName>
    <definedName name="BLPR7220040303143549966">#REF!</definedName>
    <definedName name="Closing_Costs">#REF!</definedName>
    <definedName name="Cust_Name">#REF!</definedName>
    <definedName name="_bdm.AFDBEC6ADD9C46EC90B6FA0DF6BB9A63.edm">#REF!</definedName>
    <definedName localSheetId="0" name="media_invdate">#REF!</definedName>
    <definedName name="bchart24">#REF!</definedName>
    <definedName localSheetId="0" name="ebita">#REF!</definedName>
    <definedName localSheetId="0" name="Swvu.Rate._.Table.">#REF!</definedName>
    <definedName name="q197_rev">#REF!</definedName>
    <definedName localSheetId="0" name="MES_SEQ">#REF!</definedName>
    <definedName name="YearEndDay">#REF!</definedName>
    <definedName name="FDP_99_1_aUrv">#REF!</definedName>
    <definedName localSheetId="0" name="methodology_name">#REF!</definedName>
    <definedName name="Debt_13_5">#REF!</definedName>
    <definedName name="bchart26">#REF!</definedName>
    <definedName localSheetId="0" name="q298_rev">#REF!</definedName>
    <definedName localSheetId="0" name="IpcaAcum10">#REF!</definedName>
    <definedName name="Expenses">#REF!</definedName>
    <definedName name="MayOff">#REF!</definedName>
    <definedName name="dsa">#REF!</definedName>
    <definedName name="rShares2005">#REF!</definedName>
    <definedName name="BLPR7720040303143549976_1_1">#REF!</definedName>
    <definedName name="SAQ.EXP">#REF!</definedName>
    <definedName localSheetId="0" name="rPreferredStock">#REF!</definedName>
    <definedName name="s_5">#REF!</definedName>
    <definedName name="PREMISSAS_1">#REF!</definedName>
    <definedName name="PCLD.ME">#REF!</definedName>
    <definedName name="prolinks_5dd0f7d548484f7da8e25b55ceb1e553">#REF!</definedName>
    <definedName name="FDP_11_1_aDrv">#REF!</definedName>
    <definedName name="_129_0__123Graph_CCHAR">#REF!</definedName>
    <definedName name="Selic11">#REF!</definedName>
    <definedName localSheetId="0" name="qpl">#REF!</definedName>
    <definedName name="BLPH31">#REF!</definedName>
    <definedName name="__123Graph_XCAPRO">#REF!</definedName>
    <definedName localSheetId="0" name="DataRef">#REF!</definedName>
    <definedName name="NATLSUBS">#REF!</definedName>
    <definedName name="Dolar2">#REF!</definedName>
    <definedName name="Debt_4_4">#REF!</definedName>
    <definedName name="BLPR6420040303143548104_2_2">#REF!</definedName>
    <definedName name="BLPR21720040303143552130">#REF!</definedName>
    <definedName name="Output_CAPEX_Total">#REF!</definedName>
    <definedName name="_aaa13">#REF!</definedName>
    <definedName name="cal97_eps">#REF!</definedName>
    <definedName name="_FCF5">#REF!</definedName>
    <definedName name="_bdm.698797876737415485FBEA94AC81D479.edm">#REF!</definedName>
    <definedName name="BLPR13120040303143550067">#REF!</definedName>
    <definedName name="Cad_CentroDeCusto">#REF!</definedName>
    <definedName name="INCREMENT">#REF!</definedName>
    <definedName name="FDP_92_1_aUrv">#REF!</definedName>
    <definedName name="_bdm.9FE02B0726454C5FA9A93FDBE429637E.edm">#REF!</definedName>
    <definedName name="Tabela">#REF!</definedName>
    <definedName name="___PRN1">#REF!</definedName>
    <definedName name="p_Sum">#REF!</definedName>
    <definedName name="Acq04NetInc1">#REF!</definedName>
    <definedName name="FDP_131_1_aDrv">#REF!</definedName>
    <definedName name="BLPR720040303143540783_2_3">#REF!</definedName>
    <definedName name="_ANO83">#REF!</definedName>
    <definedName name="CASESUMC">#REF!</definedName>
    <definedName name="_11B">#REF!</definedName>
    <definedName name="BLPR15920040303143550267_1_2">#REF!</definedName>
    <definedName name="_bdm.EAF05C5B86EB4FA3B505C263FEB215A3.edm">#REF!</definedName>
    <definedName localSheetId="0" name="sales1">#REF!</definedName>
    <definedName name="TickerCell">#REF!</definedName>
    <definedName name="BLPH20">#REF!</definedName>
    <definedName name="TRAUMACASHD">#REF!</definedName>
    <definedName name="BLPR17020040303143550437_2_2">#REF!</definedName>
    <definedName name="Price_Desktop">#REF!</definedName>
    <definedName name="FDP_81_1_aSrv">#REF!</definedName>
    <definedName name="Classificação">#REF!</definedName>
    <definedName name="col">#REF!</definedName>
    <definedName name="FDP_45_1_aUrv">#REF!</definedName>
    <definedName name="BLPR12820040303143550057">#REF!</definedName>
    <definedName name="__123Graph_BMTBE">#REF!</definedName>
    <definedName name="LBO1f">#REF!</definedName>
    <definedName name="__lbc18">#REF!</definedName>
    <definedName name="__IntlFixupTable">#REF!</definedName>
    <definedName name="BLPH181">#REF!</definedName>
    <definedName localSheetId="0" name="UFIRATUAL">#REF!</definedName>
    <definedName name="tranche_a">#REF!</definedName>
    <definedName name="WOUNDINCD">#REF!</definedName>
    <definedName localSheetId="0" name="DIA">#REF!</definedName>
    <definedName name="FDP_90_1_aSrv">#REF!</definedName>
    <definedName name="_bdm.699CD8F11CD64CCEB68FD26E795FD379.edm">#REF!</definedName>
    <definedName localSheetId="0" name="SETVIN">#REF!</definedName>
    <definedName name="_bdm.FC23C64A9BE84069BA0B4E97F8D42183.edm">#REF!</definedName>
    <definedName name="__x5">#REF!</definedName>
    <definedName name="_x9">#REF!</definedName>
    <definedName name="BLPR16420040303143550347_2_2">#REF!</definedName>
    <definedName name="agoytd">#REF!</definedName>
    <definedName name="offer">#REF!</definedName>
    <definedName name="__x12">#REF!</definedName>
    <definedName localSheetId="0" name="teste3">#REF!</definedName>
    <definedName name="BLPH53">#REF!</definedName>
    <definedName name="DFI">#REF!</definedName>
    <definedName name="LH_Dep">#REF!</definedName>
    <definedName name="CASTWCD">#REF!</definedName>
    <definedName name="PL_XO">#REF!</definedName>
    <definedName name="Straight_Preferred_4_1">#REF!</definedName>
    <definedName name="Footnote2">#REF!</definedName>
    <definedName name="Convertible_Debt_1_3">#REF!</definedName>
    <definedName name="_bdm.E4D39378AE0840CC9A93ED527AD46312.edm">#REF!</definedName>
    <definedName name="FDP_38_1_aUrv">#REF!</definedName>
    <definedName name="BLPR19720040303143550968">#REF!</definedName>
    <definedName name="FAT">#REF!</definedName>
    <definedName name="liabilities">#REF!</definedName>
    <definedName name="LionBDActionLookUp">#REF!</definedName>
    <definedName name="PIKTERM2">#REF!</definedName>
    <definedName name="_bdm.A6269F79EE6943C69E6C76CF3EBC1C4F.edm">#REF!</definedName>
    <definedName name="StdPreSnd">#REF!</definedName>
    <definedName localSheetId="0" name="Client_Company_Profile">#REF!</definedName>
    <definedName localSheetId="0" name="Detail_Expense_Summary">#REF!</definedName>
    <definedName name="FDP_52_1_aUrv">#REF!</definedName>
    <definedName name="FDP_37_1_aUrv">#REF!</definedName>
    <definedName name="_____EPS01">#REF!</definedName>
    <definedName name="BLPR12220040303143550047">#REF!</definedName>
    <definedName name="FDP_16_1_aUrv">#REF!</definedName>
    <definedName name="CliBlkReg">#REF!</definedName>
    <definedName localSheetId="0" name="WRITEUPS">#REF!</definedName>
    <definedName name="FDP_32_1_aUrv">#REF!</definedName>
    <definedName name="FDP_66_1_aUrv">#REF!</definedName>
    <definedName name="Debt_15_4">#REF!</definedName>
    <definedName name="Price_Worflow2015">#REF!</definedName>
    <definedName name="prolinks_faf6adfb81d04791a7f154308adbedf1">#REF!</definedName>
    <definedName name="RD_Summary">#REF!</definedName>
    <definedName name="_bdm.FD90EDC585044C769A031D3B6C126A9F.edm">#REF!</definedName>
    <definedName name="BLPR2620040303143540833_2_3">#REF!</definedName>
    <definedName name="CONSBSD">#REF!</definedName>
    <definedName localSheetId="0" name="DESP.ADM">#REF!</definedName>
    <definedName name="_25">#REF!</definedName>
    <definedName name="LBO_TYPE">#REF!</definedName>
    <definedName name="TRAUMA_SELLYEAR">#REF!</definedName>
    <definedName name="tranche_e">#REF!</definedName>
    <definedName name="FDP_126_1_aUrv">#REF!</definedName>
    <definedName name="FDP_48_1_rUrv">#REF!</definedName>
    <definedName name="ACCDIL99d30">#REF!</definedName>
    <definedName name="Sust_Opex_23">#REF!</definedName>
    <definedName name="DT">#REF!</definedName>
    <definedName name="PL">#REF!</definedName>
    <definedName name="BLPH140">#REF!</definedName>
    <definedName name="VALSUM">#REF!</definedName>
    <definedName name="___ANO74">#REF!</definedName>
    <definedName name="OMED_BUY">#REF!</definedName>
    <definedName name="_Key2">#REF!</definedName>
    <definedName name="BlkPreSnd">#REF!</definedName>
    <definedName name="BLPR3720040303143540863_2_3">#REF!</definedName>
    <definedName name="MayOn">#REF!</definedName>
    <definedName name="s_14">#REF!</definedName>
    <definedName name="LionBDBooKValueTitle">#REF!</definedName>
    <definedName name="UsrStdPreRec">#REF!</definedName>
    <definedName name="BLPH126">#REF!</definedName>
    <definedName name="_bdm.47B43893394F489F8234FFC3D0C70D95.edm">#REF!</definedName>
    <definedName name="BLPR220040303143540773_1_3">#REF!</definedName>
    <definedName name="kkkkkkkkkkk">#REF!</definedName>
    <definedName name="Tipo_Faturamento2">#REF!</definedName>
    <definedName name="IgdiAcumAno7">#REF!</definedName>
    <definedName localSheetId="0" name="IVESBS">#REF!</definedName>
    <definedName name="TrechoPadrao">#REF!</definedName>
    <definedName name="Phone_Orders_Percent">#REF!</definedName>
    <definedName name="BLPR8820040303143549997">#REF!</definedName>
    <definedName name="TargMinInt">#REF!</definedName>
    <definedName name="TRAUMAINCD">#REF!</definedName>
    <definedName name="prolinks_5e58f2ca062847eca7667a28f168ea76">#REF!</definedName>
    <definedName name="ACCDIL99d20">#REF!</definedName>
    <definedName name="LionKDAGMDate">#REF!</definedName>
    <definedName name="DCDElePer2008Q2">#REF!</definedName>
    <definedName name="Average_Phone_Order_Handle_Time">#REF!</definedName>
    <definedName name="acq">#REF!</definedName>
    <definedName name="_FCF1">#REF!</definedName>
    <definedName name="LionKDQ1Row">#REF!</definedName>
    <definedName name="prolinks_071c25b23c954111b3d37dabe76fae1f">#REF!</definedName>
    <definedName name="StartPRA1">#REF!</definedName>
    <definedName name="BLPR14420040303143550077">#REF!</definedName>
    <definedName name="Options_and_Warrants_6_3">#REF!</definedName>
    <definedName name="Std_Monthly_Fee">#REF!</definedName>
    <definedName name="DIARIO1B">#REF!</definedName>
    <definedName name="chkIpoPrice">#REF!</definedName>
    <definedName name="___DCF3">#REF!</definedName>
    <definedName name="_bdm.F6D349E5A6E34CD2BA5B28D239A5D1F1.edm">#REF!</definedName>
    <definedName name="_bdm.DE1666D2AD9F403C8640068042A3BBF5.edm">#REF!</definedName>
    <definedName name="Extraordinary_Income">#REF!</definedName>
    <definedName name="sssssssssssssssssss">#REF!</definedName>
    <definedName name="SAREV3">#REF!</definedName>
    <definedName name="BLPH168">#REF!</definedName>
    <definedName name="ROWINC">#REF!</definedName>
    <definedName name="WOUNDGSD">#REF!</definedName>
    <definedName localSheetId="0" name="_20">#REF!</definedName>
    <definedName name="__123Graph_CEVAC">#REF!</definedName>
    <definedName name="FCFb">#REF!</definedName>
    <definedName name="DU_2">#REF!</definedName>
    <definedName name="DRV">#REF!</definedName>
    <definedName name="IgdiAcumAno6">#REF!</definedName>
    <definedName localSheetId="0" name="Hidden2">#REF!</definedName>
    <definedName name="LionADRStkId">#REF!</definedName>
    <definedName name="prolinks_2eda8f0d40ac4976928417fbb30f2920">#REF!</definedName>
    <definedName name="DolMedioQ1">#REF!</definedName>
    <definedName name="ACCDIL00d20">#REF!</definedName>
    <definedName name="_bdm.A82570EB5F5144CE978D0424884ABAD4.edm">#REF!</definedName>
    <definedName localSheetId="0" name="DIVID.PL.INTER">#REF!</definedName>
    <definedName localSheetId="0" name="rf">#REF!</definedName>
    <definedName name="q2_96">#REF!</definedName>
    <definedName name="FreqName">#REF!</definedName>
    <definedName name="Annual_Recap">#REF!</definedName>
    <definedName name="prolinks_c423a2772bef4bbab52170d608d0eb65">#REF!</definedName>
    <definedName name="BLPR2520040303143540833_1_3">#REF!</definedName>
    <definedName name="TIMESTAMP">#REF!</definedName>
    <definedName name="BLPR4520040303143540883_1_3">#REF!</definedName>
    <definedName name="_bdm.5F2A6D6647494A7EB47B9C8F9356E457.edm">#REF!</definedName>
    <definedName name="BLPR3620040303143540863_3_3">#REF!</definedName>
    <definedName name="DDE">#REF!</definedName>
    <definedName name="cchart7">#REF!</definedName>
    <definedName name="p_LBO_Credit_Stats">#REF!</definedName>
    <definedName localSheetId="0" name="TERM">#REF!</definedName>
    <definedName name="_bdm.7413060AAEC94836B49D35BDAE7BF7A7.edm">#REF!</definedName>
    <definedName name="_aaa15">#REF!</definedName>
    <definedName name="_bdm.08C91CAD8D1945748FDCCE550D7C68A2.edm">#REF!</definedName>
    <definedName name="BLPR16920040303143550427_2_2">#REF!</definedName>
    <definedName localSheetId="0" name="Q1_88">#REF!</definedName>
    <definedName name="Targ06NetInc4">#REF!</definedName>
    <definedName name="BS_Equity">#REF!</definedName>
    <definedName name="PFTITANINC">#REF!</definedName>
    <definedName name="_bdm.7FCD5D8ACDF4402E8F23E84356F624AB.edm">#REF!</definedName>
    <definedName name="BLPR21620040303143552110_1_2">#REF!</definedName>
    <definedName name="CAB">#REF!</definedName>
    <definedName name="__la3">#REF!</definedName>
    <definedName name="Volatility1">#REF!</definedName>
    <definedName name="junytd">#REF!</definedName>
    <definedName name="LBO20f">#REF!</definedName>
    <definedName name="MES_SEQ">#REF!</definedName>
    <definedName name="BLPH177">#REF!</definedName>
    <definedName name="Item2">#REF!</definedName>
    <definedName name="BLPR8720040303143549997_1_1">#REF!</definedName>
    <definedName localSheetId="0" name="Westchester_Penetration_Rate">#REF!</definedName>
    <definedName name="MSMERGERSUM">#REF!</definedName>
    <definedName localSheetId="0" name="cov2a">#REF!</definedName>
    <definedName name="FDP_112_1_aUrv">#REF!</definedName>
    <definedName name="prolinks_78ca1cea3cbf408fba101cbe8e5a0134">#REF!</definedName>
    <definedName name="_ANO76">#REF!</definedName>
    <definedName name="Price_Analytics2014">#REF!</definedName>
    <definedName name="_bdm.33F4E7036D834CD3A34112D11A7E0BB7.edm">#REF!</definedName>
    <definedName localSheetId="0" name="TPROF">#REF!</definedName>
    <definedName name="_bdm.7CF56D3E51AC4B188A5255F51A19EE4E.edm">#REF!</definedName>
    <definedName localSheetId="0" name="OPINBUD">#REF!</definedName>
    <definedName name="Price_Portal2014">#REF!</definedName>
    <definedName name="FDP_92_1_aSrv">#REF!</definedName>
    <definedName name="_x19">#REF!</definedName>
    <definedName name="CONS_SELL">#REF!</definedName>
    <definedName name="___ANO81">#REF!</definedName>
    <definedName name="CASTINCD">#REF!</definedName>
    <definedName name="BLPR2320040303143540833_2_3">#REF!</definedName>
    <definedName name="ABRVIN">#REF!</definedName>
    <definedName name="Fluxo5">#REF!</definedName>
    <definedName name="Debt_16_3">#REF!</definedName>
    <definedName localSheetId="0" name="SELL_INS">#REF!</definedName>
    <definedName name="Convertible_Debt_3_3">#REF!</definedName>
    <definedName name="_8__123Graph_LBL_ACHART_1">#REF!</definedName>
    <definedName name="_TTF96">#REF!</definedName>
    <definedName name="_103__123Graph_XCHART_20">#REF!</definedName>
    <definedName name="Convertible_Preferred_6_3">#REF!</definedName>
    <definedName name="Tot_UseageY2">#REF!</definedName>
    <definedName name="kjsahjgsjhhsadkjsda">#REF!</definedName>
    <definedName name="_____SUB1">#REF!</definedName>
    <definedName name="FDP_54_1_aDdv">#REF!</definedName>
    <definedName name="BLPR4120040303143540873">#REF!</definedName>
    <definedName name="IgpdiAcum8">#REF!</definedName>
    <definedName localSheetId="0" name="OPBFFORE">#REF!</definedName>
    <definedName localSheetId="0" name="Footer">#REF!</definedName>
    <definedName localSheetId="0" name="Selic0">#REF!</definedName>
    <definedName name="TargSharesNow">#REF!</definedName>
    <definedName name="BS_Minority">#REF!</definedName>
    <definedName name="FDP_66_1_aDrv">#REF!</definedName>
    <definedName name="_63__123Graph_DCHART_16">#REF!</definedName>
    <definedName localSheetId="0" name="Hidden3">#REF!</definedName>
    <definedName name="LionPieChart1Title">#REF!</definedName>
    <definedName name="Price_Registration2017">#REF!</definedName>
    <definedName name="IRR_2016_Preço_Esalq">#REF!</definedName>
    <definedName name="prolinks_549df6443de14d71a008445b87cb7c82">#REF!</definedName>
    <definedName name="Client_Company_Profile">#REF!</definedName>
    <definedName name="prolinks_953879f3ad7b46e8ba7a050ec49a5411">#REF!</definedName>
    <definedName name="_36__123Graph_BCHART_12">#REF!</definedName>
    <definedName name="BLPH39">#REF!</definedName>
    <definedName name="FDP_19_1_dUdv">#REF!</definedName>
    <definedName name="ACCDIL01c">#REF!</definedName>
    <definedName name="BLPR3820040303143540863">#REF!</definedName>
    <definedName localSheetId="0" name="INCREMENTAL">#REF!</definedName>
    <definedName name="valuationdate">#REF!</definedName>
    <definedName name="_bdm.3A8AFC1AC7A642E6B1638D2789FE5EBC.edm">#REF!</definedName>
    <definedName name="__x22">#REF!</definedName>
    <definedName name="BLPR3520040303143540853_3_3">#REF!</definedName>
    <definedName name="prolinks_efb8aa8215924a13a0653c7519cc745e">#REF!</definedName>
    <definedName name="BLPR1120040303143540803_2_3">#REF!</definedName>
    <definedName name="recap">#REF!</definedName>
    <definedName localSheetId="0" name="EXEC">#REF!</definedName>
    <definedName name="Acq05NetInc2">#REF!</definedName>
    <definedName name="IVESCASH">#REF!</definedName>
    <definedName name="asdafasdf">#REF!</definedName>
    <definedName localSheetId="0" name="rEPS">#REF!</definedName>
    <definedName name="_bdm.1DE003401FB04B878AE3727D9130D4E4.edm">#REF!</definedName>
    <definedName localSheetId="0" name="iasrun">#REF!</definedName>
    <definedName name="BLPR16920040303143550427_1_2">#REF!</definedName>
    <definedName name="DERMBSD">#REF!</definedName>
    <definedName localSheetId="0" name="debt">#REF!</definedName>
    <definedName name="balance1">#REF!</definedName>
    <definedName name="WIZARD_Y1YEARR">#REF!</definedName>
    <definedName name="INVRUN">#REF!</definedName>
    <definedName name="_bdm.E4D5D81920064AE3BA8DC6750C83EF79.edm">#REF!</definedName>
    <definedName name="_TTF93">#REF!</definedName>
    <definedName localSheetId="0" name="__EPS01">#REF!</definedName>
    <definedName localSheetId="0" name="AssetBeta">#REF!</definedName>
    <definedName name="IgdiAcumAno11">#REF!</definedName>
    <definedName name="____REV03">#REF!</definedName>
    <definedName localSheetId="0" name="op_case">#REF!</definedName>
    <definedName name="WIZARD_Y3YEARE">#REF!</definedName>
    <definedName name="BLPR15720040303143550237_2_2">#REF!</definedName>
    <definedName name="LionBDInvOpinion1">#REF!</definedName>
    <definedName name="Semi">#REF!</definedName>
    <definedName name="BLPR2920040303143540843">#REF!</definedName>
    <definedName name="__PBT03">#REF!</definedName>
    <definedName name="CostEquity">#REF!</definedName>
    <definedName localSheetId="0" name="GW_YEARS">#REF!</definedName>
    <definedName name="Hidden3">#REF!</definedName>
    <definedName name="Tot_Usage">#REF!</definedName>
    <definedName name="prolinks_3fdf505e3e244291b2cbf2e744665f03">#REF!</definedName>
    <definedName name="prolinks_56a4b832e19645ab82542e100b93a880">#REF!</definedName>
    <definedName name="q498_ni">#REF!</definedName>
    <definedName name="fafas">#REF!</definedName>
    <definedName name="CombinadoEmbraco">#REF!</definedName>
    <definedName name="Convertible_Preferred_3_5">#REF!</definedName>
    <definedName name="BLPR15520040303143550207_2_2">#REF!</definedName>
    <definedName name="myPASSWORD">#REF!</definedName>
    <definedName name="___ANO79">#REF!</definedName>
    <definedName name="next_qtr_rev">#REF!</definedName>
    <definedName name="SAL.ENCARGOS">#REF!</definedName>
    <definedName name="achart16">#REF!</definedName>
    <definedName localSheetId="0" name="file">#REF!</definedName>
    <definedName name="DolMedioQ3">#REF!</definedName>
    <definedName localSheetId="0" name="_DCF10">#REF!</definedName>
    <definedName name="_8">#REF!</definedName>
    <definedName name="__123Graph_ACURRENT">#REF!</definedName>
    <definedName name="IPRIME">#REF!</definedName>
    <definedName name="B2K_VIEW2">#REF!</definedName>
    <definedName name="Delivery_Fee">#REF!</definedName>
    <definedName name="bchart3">#REF!</definedName>
    <definedName name="FDP_18_1_aDrv">#REF!</definedName>
    <definedName name="IpcaAcum2">#REF!</definedName>
    <definedName localSheetId="0" name="interl">#REF!</definedName>
    <definedName name="_bdm.BC0AE9F00E6944C3B828A8C0E90843A6.edm">#REF!</definedName>
    <definedName name="MULT982a40">#REF!</definedName>
    <definedName name="Data2">#REF!</definedName>
    <definedName name="______SUB3">#REF!</definedName>
    <definedName localSheetId="0" name="aaaaaaaa">#REF!</definedName>
    <definedName name="ADM.PARTIC.ESTAT">#REF!</definedName>
    <definedName localSheetId="0" name="Net_profit">#REF!</definedName>
    <definedName name="_la29">#REF!</definedName>
    <definedName name="wcass4">#REF!</definedName>
    <definedName name="_bdm.6936036AEB914BAAB7F5B1FD918E6EBC.edm">#REF!</definedName>
    <definedName name="BLPH111">#REF!</definedName>
    <definedName name="_bdm.BFAFC5DA26424855A9B05F56E34D1E38.edm">#REF!</definedName>
    <definedName name="Crng_Landscape">#REF!</definedName>
    <definedName name="_bdm.1CFD1061002043F2A8B96ADB586ACA36.edm">#REF!</definedName>
    <definedName name="__ANO69">#REF!</definedName>
    <definedName name="bchart6">#REF!</definedName>
    <definedName name="cchart23">#REF!</definedName>
    <definedName localSheetId="0" name="input2">#REF!</definedName>
    <definedName name="PREMD">#REF!</definedName>
    <definedName name="solver_adj">#REF!</definedName>
    <definedName name="BLPR18120040303143550637">#REF!</definedName>
    <definedName name="Proceeds_of_New_Issue">#REF!</definedName>
    <definedName name="BLPH54">#REF!</definedName>
    <definedName localSheetId="0" name="SCIA">#REF!</definedName>
    <definedName name="BLPR1620040303143540813_3_3">#REF!</definedName>
    <definedName name="____PRN2">#REF!</definedName>
    <definedName name="Straight_Preferred_6_4">#REF!</definedName>
    <definedName name="_dameluz_in2">#REF!</definedName>
    <definedName name="Price_DNA2017">#REF!</definedName>
    <definedName name="DDS">#REF!</definedName>
    <definedName name="____REV02">#REF!</definedName>
    <definedName name="_60__123Graph_DCHART_13">#REF!</definedName>
    <definedName name="_16">#REF!</definedName>
    <definedName name="_bdm.B317521B54F745E78CBE8B5988ED0292.edm">#REF!</definedName>
    <definedName name="_bdm.89762CB0FC3B459284827A2B1904F61F.edm">#REF!</definedName>
    <definedName name="__lbc26">#REF!</definedName>
    <definedName localSheetId="0" name="Printinc">#REF!</definedName>
    <definedName name="__123Graph_ASIDECO">#REF!</definedName>
    <definedName name="_bdm.4A6627AE8E0F46768F6EFB32DD25CE7A.edm">#REF!</definedName>
    <definedName localSheetId="0" name="_50__Special_Reserve">#REF!</definedName>
    <definedName localSheetId="0" name="AcqSTDebt">#REF!</definedName>
    <definedName name="_87__123Graph_F_Chart_1A">#REF!</definedName>
    <definedName name="ENDO_BUY">#REF!</definedName>
    <definedName localSheetId="0" name="BaseModel">#REF!</definedName>
    <definedName name="prolinks_95276f3273e2475fb9c0e11dad8ba555">#REF!</definedName>
    <definedName name="Debt_17_1">#REF!</definedName>
    <definedName name="cash_sweep">#REF!</definedName>
    <definedName name="_bdm.23DE9F11782B444EA1A43324DEAE0538.edm">#REF!</definedName>
    <definedName name="Access_I">#REF!</definedName>
    <definedName localSheetId="0" name="CCCC">#REF!</definedName>
    <definedName name="bchart15">#REF!</definedName>
    <definedName name="PROV.GARANTIA">#REF!</definedName>
    <definedName name="s_2">#REF!</definedName>
    <definedName name="Admin">#REF!</definedName>
    <definedName name="OMED_YEAR">#REF!</definedName>
    <definedName name="TRAUMA_SELL">#REF!</definedName>
    <definedName name="OMEDINCD">#REF!</definedName>
    <definedName localSheetId="0" name="wcass2">#REF!</definedName>
    <definedName name="Processing">#REF!</definedName>
    <definedName name="data_base_descr">#REF!</definedName>
    <definedName name="FDP_0_1_aDrv">#REF!</definedName>
    <definedName name="Debt_11_5">#REF!</definedName>
    <definedName name="OMED_SELLYEAR">#REF!</definedName>
    <definedName name="FDP_24_1_aUrv">#REF!</definedName>
    <definedName name="Exityear">#REF!</definedName>
    <definedName name="_106__123Graph_XChart_4">#REF!</definedName>
    <definedName name="BLPH124">#REF!</definedName>
    <definedName name="_6__123Graph_BCHART_3">#REF!</definedName>
    <definedName localSheetId="0" name="rExchangeRate">#REF!</definedName>
    <definedName name="BLPR9420040303143550007">#REF!</definedName>
    <definedName name="Support">#REF!</definedName>
    <definedName name="targ_min_cash">#REF!</definedName>
    <definedName name="BLPR8320040303143549987_1_1">#REF!</definedName>
    <definedName name="StartDL">#REF!</definedName>
    <definedName name="BLPR19820040303143550988_2_2">#REF!</definedName>
    <definedName name="_bdm.CC0F926CE87F4DBE84B152AFEB7BF43D.edm">#REF!</definedName>
    <definedName name="COUNTER">#REF!</definedName>
    <definedName name="_bdm.8E88F9CE394B4897A9AF4292EAA81453.edm">#REF!</definedName>
    <definedName name="__SUB2">#REF!</definedName>
    <definedName name="BLPR18020040303143550617">#REF!</definedName>
    <definedName name="BLPR16320040303143550327_2_2">#REF!</definedName>
    <definedName localSheetId="0" name="rev">#REF!</definedName>
    <definedName name="BLPH183">#REF!</definedName>
    <definedName name="FDP_103_1_aUrv">#REF!</definedName>
    <definedName name="_bdm.D733FEB2936A4F7ABA317F642E521E29.edm">#REF!</definedName>
    <definedName name="Straight_Preferred_4_4">#REF!</definedName>
    <definedName name="IgpmAcumAno0">#REF!</definedName>
    <definedName name="MUTUO.PASSIVO">#REF!</definedName>
    <definedName name="____FCF5">#REF!</definedName>
    <definedName name="___DCF11">#REF!</definedName>
    <definedName name="FDP_44_1_aUrv">#REF!</definedName>
    <definedName name="FINSTATE">#REF!</definedName>
    <definedName name="_3">#REF!</definedName>
    <definedName name="MemberPrint">#REF!</definedName>
    <definedName name="media_invdate">#REF!</definedName>
    <definedName name="CF_Minority_NI">#REF!</definedName>
    <definedName name="cal_yr">#REF!</definedName>
    <definedName name="BLPR13420040303143550067">#REF!</definedName>
    <definedName name="lbla23">#REF!</definedName>
    <definedName name="_____sem1">#REF!</definedName>
    <definedName name="_bdm.8A75900DCC52437DA300D07C94A1052F.edm">#REF!</definedName>
    <definedName name="BLPR820040303143540793">#REF!</definedName>
    <definedName name="Fluxo3">#REF!</definedName>
    <definedName name="sales1">#REF!</definedName>
    <definedName name="BLPH41">#REF!</definedName>
    <definedName name="BLPR10920040303143550027_1_1">#REF!</definedName>
    <definedName name="OPINPRYR">#REF!</definedName>
    <definedName name="Convertible_Preferred_1_1">#REF!</definedName>
    <definedName localSheetId="0" name="YTDCONSOL">#REF!</definedName>
    <definedName localSheetId="0" name="OB">#REF!</definedName>
    <definedName name="_bdm.FF85DBD643924D11ACA5DC95986BC129.edm">#REF!</definedName>
    <definedName name="Convertible_Debt_3_5">#REF!</definedName>
    <definedName name="BLPH35">#REF!</definedName>
    <definedName name="BLPR4120040303143540873_1_3">#REF!</definedName>
    <definedName name="x_2">#REF!</definedName>
    <definedName name="BLPR1420040303143540813_3_3">#REF!</definedName>
    <definedName name="_bdm.63FC4F7990E3458799B8BAE2ACC50DF4.edm">#REF!</definedName>
    <definedName name="_bdm.52AEBB991BCA4EF38C8394F6F595ABEF.edm">#REF!</definedName>
    <definedName name="BS_Convertible_Debt">#REF!</definedName>
    <definedName name="_bdm.F1210EF97D6A45ADA17C3D7D0F85F489.edm">#REF!</definedName>
    <definedName name="__lbc13">#REF!</definedName>
    <definedName name="BLPH1">#REF!</definedName>
    <definedName name="Debt_9_1">#REF!</definedName>
    <definedName name="_bdm.BFD085A6153C4A8EB255216D0CA8C48E.edm">#REF!</definedName>
    <definedName name="PreCalcSales">#REF!</definedName>
    <definedName name="DEDUÇÕES">#REF!</definedName>
    <definedName name="__la32">#REF!</definedName>
    <definedName name="EXPENSE">#REF!</definedName>
    <definedName localSheetId="0" name="_ANO68">#REF!</definedName>
    <definedName name="BS_Other_CA">#REF!</definedName>
    <definedName name="_bdm.BBD1BD6BAE6C44E0826535BCB6A3A726.edm">#REF!</definedName>
    <definedName name="FDP_131_1_aUrv">#REF!</definedName>
    <definedName name="LionBDPrcObjCurrency">#REF!</definedName>
    <definedName name="BLPR4520040303143540883_3_3">#REF!</definedName>
    <definedName name="prolinks_3c1b038083df41f3a1c770b9801c4e4e">#REF!</definedName>
    <definedName name="p_BS">#REF!</definedName>
    <definedName name="BLPR10920040303143550027">#REF!</definedName>
    <definedName localSheetId="0" name="OPBFBUD">#REF!</definedName>
    <definedName name="BLPR12020040303143550047">#REF!</definedName>
    <definedName localSheetId="0" name="Indice01">#REF!</definedName>
    <definedName name="_bdm.1E4D033FE65444CA81A85D93A19C04FD.edm">#REF!</definedName>
    <definedName name="_bdm.420A327401854CA0A0C3BFA94CC59D24.edm">#REF!</definedName>
    <definedName name="BLPH125">#REF!</definedName>
    <definedName localSheetId="0" name="DDE">#REF!</definedName>
    <definedName name="_x5">#REF!</definedName>
    <definedName name="BLPR4120040303143540873_3_3">#REF!</definedName>
    <definedName name="__ANO68">#REF!</definedName>
    <definedName name="LionBDLocalPrice">#REF!</definedName>
    <definedName name="____rev4">#REF!</definedName>
    <definedName name="_5__123Graph_BCHART_1">#REF!</definedName>
    <definedName name="Q3_88">#REF!</definedName>
    <definedName name="LionKDXdDateQ3">#REF!</definedName>
    <definedName name="Sust_OutrC_22">#REF!</definedName>
    <definedName name="Plant_Case_Name">#REF!</definedName>
    <definedName localSheetId="0" name="PerfModelHdr">#REF!</definedName>
    <definedName name="Rev_Growth_Assumptions">#REF!</definedName>
    <definedName localSheetId="0" name="amort">#REF!</definedName>
    <definedName localSheetId="0" name="targ_latest_K">#REF!</definedName>
    <definedName name="BLPR11420040303143550037_1_1">#REF!</definedName>
    <definedName localSheetId="0" name="collumn">#REF!</definedName>
    <definedName name="debt">#REF!</definedName>
    <definedName name="FCFe">#REF!</definedName>
    <definedName name="debt3">#REF!</definedName>
    <definedName name="_bdm.2BEE6769ECCC4D41B8C124C9A2FCCEFB.edm">#REF!</definedName>
    <definedName name="sales">#REF!</definedName>
    <definedName name="achart22">#REF!</definedName>
    <definedName localSheetId="0" name="p_Amort">#REF!</definedName>
    <definedName name="mm">#REF!</definedName>
    <definedName name="z">#REF!</definedName>
    <definedName name="Convertible_Debt_6_4">#REF!</definedName>
    <definedName name="IpcaAcumAno10">#REF!</definedName>
    <definedName name="_Dist_Values">#REF!</definedName>
    <definedName name="BLPH100">#REF!</definedName>
    <definedName name="Debt_3_5">#REF!</definedName>
    <definedName name="PresentationNormalA4">#REF!</definedName>
    <definedName name="BLPR15920040303143550267">#REF!</definedName>
    <definedName name="Goodwill6">#REF!</definedName>
    <definedName name="Convertible_Debt_3_1">#REF!</definedName>
    <definedName name="_bdm.C920BCEA873646C9AAF679C098BDBAEF.edm">#REF!</definedName>
    <definedName name="CASESUMA">#REF!</definedName>
    <definedName localSheetId="0" name="DPS__DM__Ord">#REF!</definedName>
    <definedName name="WOUNDWCD">#REF!</definedName>
    <definedName name="_bdm.1AE1FB5CBF2D4779BD2D4A79E6968A2A.edm">#REF!</definedName>
    <definedName name="TAXES">#REF!</definedName>
    <definedName name="BLPR920040303143540803">#REF!</definedName>
    <definedName name="Price_Worflow2014">#REF!</definedName>
    <definedName localSheetId="0" name="revinc2">#REF!</definedName>
    <definedName name="Operations">#REF!</definedName>
    <definedName name="DIR.ACIONISTAS">#REF!</definedName>
    <definedName localSheetId="0" name="CF_Provisions">#REF!</definedName>
    <definedName name="fy_97">#REF!</definedName>
    <definedName name="prolinks_aa8399e320764d009e7a8c94a2c2c359">#REF!</definedName>
    <definedName name="FDP_145_1_aUrv">#REF!</definedName>
    <definedName localSheetId="0" name="Labor_Efficiency_Rate_One">#REF!</definedName>
    <definedName localSheetId="0" name="yr_ago_eps">#REF!</definedName>
    <definedName name="CEPS02">#REF!</definedName>
    <definedName name="_110_0__123Graph_ACHAR">#REF!</definedName>
    <definedName name="EBITDAdebt">#REF!</definedName>
    <definedName localSheetId="0" name="Average_Handle_Time_Chat">#REF!</definedName>
    <definedName name="cchart21">#REF!</definedName>
    <definedName name="YearID2">#REF!</definedName>
    <definedName name="BLPR19120040303143550838_2_2">#REF!</definedName>
    <definedName localSheetId="0" name="rPreTaxSynergiesLocal">#REF!</definedName>
    <definedName name="_127_0__123Graph_BCHAR">#REF!</definedName>
    <definedName localSheetId="0" name="__ANN1">#REF!</definedName>
    <definedName name="FDP_6_1_aUdv">#REF!</definedName>
    <definedName name="s_30">#REF!</definedName>
    <definedName name="BLPR16820040303143550407">#REF!</definedName>
    <definedName name="income_statement">#REF!</definedName>
    <definedName localSheetId="0" name="CompanyTicker1">#REF!</definedName>
    <definedName name="BLPR16520040303143550357_1_2">#REF!</definedName>
    <definedName name="CONSINCD">#REF!</definedName>
    <definedName name="Bronx_Penetration_Rate">#REF!</definedName>
    <definedName name="rSharesCurrent">#REF!</definedName>
    <definedName name="WOUND_SELL">#REF!</definedName>
    <definedName name="ESTOQUE">#REF!</definedName>
    <definedName name="p_Preferred">#REF!</definedName>
    <definedName name="receita2">#REF!</definedName>
    <definedName name="S_28">#REF!</definedName>
    <definedName localSheetId="0" name="ADM.HONORARIOS">#REF!</definedName>
    <definedName name="FDP_4_1_aDrv">#REF!</definedName>
    <definedName name="WIZARD_Y2Q2E">#REF!</definedName>
    <definedName name="BLPR420040303143540783_3_3">#REF!</definedName>
    <definedName name="LBO20b">#REF!</definedName>
    <definedName localSheetId="0" name="TELESERVICES">#REF!</definedName>
    <definedName name="totdebt">#REF!</definedName>
    <definedName name="_bdm.2E6C77A726054FAEA206763281FD1CE4.edm">#REF!</definedName>
    <definedName name="_bdm.EEC11EA3246F421A8A93D0793ADA3D23.edm">#REF!</definedName>
    <definedName name="_bdm.73F1D414E4D24A469CD09690263A63C6.edm">#REF!</definedName>
    <definedName name="rPricePaidC2">#REF!</definedName>
    <definedName name="BdCentroDeCustos">#REF!</definedName>
    <definedName name="LionBDADRSymbolExch">#REF!</definedName>
    <definedName name="obs_TrainO">#REF!</definedName>
    <definedName name="q199_ni">#REF!</definedName>
    <definedName name="BLPR8320040303143549987">#REF!</definedName>
    <definedName name="LionBDOpinionDate">#REF!</definedName>
    <definedName name="Rec_21">#REF!</definedName>
    <definedName name="LBO30b">#REF!</definedName>
    <definedName localSheetId="0" name="Rate_Table">#REF!</definedName>
    <definedName name="_105__123Graph_XCHART_3">#REF!</definedName>
    <definedName localSheetId="0" name="SETSP">#REF!</definedName>
    <definedName name="Proposal">#REF!</definedName>
    <definedName name="sssssssssss">#REF!</definedName>
    <definedName name="BLPH79">#REF!</definedName>
    <definedName name="LionPieChartOldRevNo2">#REF!</definedName>
    <definedName name="OUTPUT">#REF!</definedName>
    <definedName name="M.YTD">#REF!</definedName>
    <definedName name="BLPR16420040303143550347">#REF!</definedName>
    <definedName localSheetId="0" name="FebOff">#REF!</definedName>
    <definedName name="BLPR14220040303143550077">#REF!</definedName>
    <definedName name="FDP_110_1_aDrv">#REF!</definedName>
    <definedName name="LEASING">#REF!</definedName>
    <definedName localSheetId="0" name="LookUpRange">#REF!</definedName>
    <definedName name="CAPEX__Intangibles">#REF!</definedName>
    <definedName name="__lb21">#REF!</definedName>
    <definedName name="_bdm.1977DFFDD7FC4300B82F18594956B72B.edm">#REF!</definedName>
    <definedName name="_bdm.C8839B4805FD4A768E1463B2198C90AB.edm">#REF!</definedName>
    <definedName name="WIZARD_Y3Q3R">#REF!</definedName>
    <definedName name="rLTMDA">#REF!</definedName>
    <definedName name="EEUCBCR">#REF!</definedName>
    <definedName name="OUTVIN">#REF!</definedName>
    <definedName localSheetId="0" name="wcass1">#REF!</definedName>
    <definedName name="LBO40c">#REF!</definedName>
    <definedName name="prolinks_f1d7598aefe54eb29928feab8720b274">#REF!</definedName>
    <definedName name="PdrRegRec">#REF!</definedName>
    <definedName name="BLPH69">#REF!</definedName>
    <definedName name="Price_Impact">#REF!</definedName>
    <definedName name="_bdm.50E8C4A66D254F838530DC6A4D3BF4CC.edm">#REF!</definedName>
    <definedName name="AcqLTG4">#REF!</definedName>
    <definedName name="currency">#REF!</definedName>
    <definedName name="BLPR11920040303143550047">#REF!</definedName>
    <definedName name="BLPR18520040303143550718_1_2">#REF!</definedName>
    <definedName name="aaaaaaaa">#REF!</definedName>
    <definedName name="IpcaAcum0">#REF!</definedName>
    <definedName name="_bdm.A5318815CF0B4FBBB9B03A2B01F86D67.edm">#REF!</definedName>
    <definedName name="_bdm.CC10F4C8505E4ECBAF218DD2C4633C98.edm">#REF!</definedName>
    <definedName name="page8">#REF!</definedName>
    <definedName name="PL_Loss_Preferred">#REF!</definedName>
    <definedName name="____EPS04">#REF!</definedName>
    <definedName name="bchart28">#REF!</definedName>
    <definedName name="MscoInputCell18">#REF!</definedName>
    <definedName name="internl">#REF!</definedName>
    <definedName name="LionBDQRQReview">#REF!</definedName>
    <definedName name="StartVal">#REF!</definedName>
    <definedName name="_bdm.A5552BD11C13456FA16FFB39ECAAF9ED.edm">#REF!</definedName>
    <definedName name="PrintTitle1">#REF!</definedName>
    <definedName name="prolinks_f298335596fa478db2dc54a7ebef6cc5">#REF!</definedName>
    <definedName name="_____rev4">#REF!</definedName>
    <definedName name="Q3_93">#REF!</definedName>
    <definedName name="q3_96">#REF!</definedName>
    <definedName name="BLPR13020040303143550067_1_1">#REF!</definedName>
    <definedName name="q4_96">#REF!</definedName>
    <definedName name="TODAY">#REF!</definedName>
    <definedName name="BLPH55">#REF!</definedName>
    <definedName name="BLPR6720040303143549966_1_1">#REF!</definedName>
    <definedName name="__lb28">#REF!</definedName>
    <definedName name="FDP_26_1_aDrv">#REF!</definedName>
    <definedName name="JANVIN">#REF!</definedName>
    <definedName name="IMOB.USO">#REF!</definedName>
    <definedName name="_bdm.BE20624FE57B4EF09144871A4CA620BD.edm">#REF!</definedName>
    <definedName name="_aaa12">#REF!</definedName>
    <definedName name="BLPR17320040303143550487_1_2">#REF!</definedName>
    <definedName name="Debt_6_1">#REF!</definedName>
    <definedName localSheetId="0" name="COR_Allocation_Detail">#REF!</definedName>
    <definedName localSheetId="0" name="input1">#REF!</definedName>
    <definedName name="_bdm.F8BDE0A5C40941A796669D6DF1AB9FD4.edm">#REF!</definedName>
    <definedName name="achart10">#REF!</definedName>
    <definedName localSheetId="0" name="IVESWC">#REF!</definedName>
    <definedName name="PFTITANBS">#REF!</definedName>
    <definedName name="Rec_20">#REF!</definedName>
    <definedName name="PASSIVO">#REF!</definedName>
    <definedName name="_ANO79">#REF!</definedName>
    <definedName name="BLPR6220040303143548074">#REF!</definedName>
    <definedName name="_____ATI2">#REF!</definedName>
    <definedName name="PrintMacros">#REF!</definedName>
    <definedName name="UsrStdPreSnd">#REF!</definedName>
    <definedName localSheetId="0" name="OUTRAS.REC">#REF!</definedName>
    <definedName name="_bdm.2F6BDA509DF84015B55A44141462D8B6.edm">#REF!</definedName>
    <definedName name="_a1">#REF!</definedName>
    <definedName name="LionStkResearchOldRevNo2">#REF!</definedName>
    <definedName localSheetId="0" name="FCFc">#REF!</definedName>
    <definedName localSheetId="0" name="IRRTable">#REF!</definedName>
    <definedName name="FDP_33_1_aDrv">#REF!</definedName>
    <definedName name="_14__123Graph_XMOF_NB">#REF!</definedName>
    <definedName name="__FCF1">#REF!</definedName>
    <definedName name="BLPH153">#REF!</definedName>
    <definedName name="Options_and_Warrants_4_2">#REF!</definedName>
    <definedName name="_QTR1">#REF!</definedName>
    <definedName name="BLPR1320040303143540813_3_3">#REF!</definedName>
    <definedName name="bchart29">#REF!</definedName>
    <definedName name="OWNERS">#REF!</definedName>
    <definedName name="_bdm.934EE211A7CE4629AA4A0786FCF209DB.edm">#REF!</definedName>
    <definedName name="_bdm.BB3AE46F56964A33950DA4E3E44B25EE.edm">#REF!</definedName>
    <definedName name="rLTMGrossInterest">#REF!</definedName>
    <definedName name="DCDEleVol2007Q1">#REF!</definedName>
    <definedName name="____DCF8">#REF!</definedName>
    <definedName localSheetId="0" name="Goodwill3">#REF!</definedName>
    <definedName name="rng_Refresh">#REF!</definedName>
    <definedName name="IgpmAcumAno10">#REF!</definedName>
    <definedName name="__la5">#REF!</definedName>
    <definedName name="BLPR20220040303143551999_1_1">#REF!</definedName>
    <definedName name="BLPH133">#REF!</definedName>
    <definedName name="_lb32">#REF!</definedName>
    <definedName name="IgpmAcum1">#REF!</definedName>
    <definedName name="is">#REF!</definedName>
    <definedName name="LionBDInvCharacteristics">#REF!</definedName>
    <definedName name="EBDIT">#REF!</definedName>
    <definedName localSheetId="0" name="week">#REF!</definedName>
    <definedName name="BLPH171">#REF!</definedName>
    <definedName name="obs_AHcC">#REF!</definedName>
    <definedName name="Acq06NetInc1">#REF!</definedName>
    <definedName name="N_2">#REF!</definedName>
    <definedName name="Variation_Special_reserve">#REF!</definedName>
    <definedName name="Baddebt">#REF!</definedName>
    <definedName name="ELSACalculateMode">#REF!</definedName>
    <definedName name="FDP_160_1_aUrv">#REF!</definedName>
    <definedName name="Other_Dep">#REF!</definedName>
    <definedName name="VENDAS.ME">#REF!</definedName>
    <definedName name="FDP_130_1_aUrv">#REF!</definedName>
    <definedName name="BLPR520040303143540783_2_3">#REF!</definedName>
    <definedName name="prolinks_861f60d0269d45ccbf9be9c6e10281ac">#REF!</definedName>
    <definedName name="prolinks_1297e45826464414b75da9efb794e8c4">#REF!</definedName>
    <definedName localSheetId="0" name="IpcaAcum0">#REF!</definedName>
    <definedName name="FDP_53_1_aUrv">#REF!</definedName>
    <definedName name="cchart24">#REF!</definedName>
    <definedName name="bchart8">#REF!</definedName>
    <definedName name="BLPH38">#REF!</definedName>
    <definedName name="SETSP">#REF!</definedName>
    <definedName name="__lbc22">#REF!</definedName>
    <definedName name="obs_MoeO">#REF!</definedName>
    <definedName name="BLPR1720040303143540823_2_3">#REF!</definedName>
    <definedName name="Pay_debt_sch">#REF!</definedName>
    <definedName name="FDP_104_1_aUrv">#REF!</definedName>
    <definedName name="DSSSSSSSSSSSSSSSSSSSSSSSSS">#REF!</definedName>
    <definedName name="BLPH18">#REF!</definedName>
    <definedName name="esquerda">#REF!</definedName>
    <definedName localSheetId="0" name="EXDATE">#REF!</definedName>
    <definedName name="CAPEX__Financial">#REF!</definedName>
    <definedName name="s">#REF!</definedName>
    <definedName name="BLPR18320040303143550678_1_2">#REF!</definedName>
    <definedName name="AcqSharesNow">#REF!</definedName>
    <definedName name="DecOn">#REF!</definedName>
    <definedName name="Manhattan_Zone6_Penetration_Rate">#REF!</definedName>
    <definedName name="_lbc22">#REF!</definedName>
    <definedName localSheetId="0" name="page1">#REF!</definedName>
    <definedName name="DebtToEquity">#REF!</definedName>
    <definedName name="DO">#REF!</definedName>
    <definedName name="j">#REF!</definedName>
    <definedName name="fy97_shares">#REF!</definedName>
    <definedName name="prolinks_18ec6dd08f17471ca90dcfe741a2a7a1">#REF!</definedName>
    <definedName name="_SUB4">#REF!</definedName>
    <definedName name="MAT.INTERMED">#REF!</definedName>
    <definedName name="_bdm.D250ACF145044092A1255C3A00DABD29.edm">#REF!</definedName>
    <definedName localSheetId="0" name="AugOn">#REF!</definedName>
    <definedName localSheetId="0" name="exhibit">#REF!</definedName>
    <definedName name="FDP_20_1_aDrv">#REF!</definedName>
    <definedName name="RES.CM.CAPITAL">#REF!</definedName>
    <definedName name="LionPieChart1Data">#REF!</definedName>
    <definedName name="BUNDYCASH">#REF!</definedName>
    <definedName name="FDP_155_1_aUrv">#REF!</definedName>
    <definedName name="_bdm.FB60952F77964231B9D2D31C15B20A04.edm">#REF!</definedName>
    <definedName name="_lbc7">#REF!</definedName>
    <definedName name="LionBDSymbolExch">#REF!</definedName>
    <definedName name="__ANO85">#REF!</definedName>
    <definedName name="HAWK6">#REF!</definedName>
    <definedName name="cap">#REF!</definedName>
    <definedName name="QUADRO1">#REF!</definedName>
    <definedName name="hhh">#REF!</definedName>
    <definedName name="_s4">#REF!</definedName>
    <definedName name="BLPR6820040303143549966_1_1">#REF!</definedName>
    <definedName localSheetId="0" name="de">#REF!</definedName>
    <definedName name="__ld31">#REF!</definedName>
    <definedName name="cchart19">#REF!</definedName>
    <definedName localSheetId="0" name="QtrShares">#REF!</definedName>
    <definedName localSheetId="0" name="ELSACalculateMode">#REF!</definedName>
    <definedName name="BLPR6420040303143548104_1_2">#REF!</definedName>
    <definedName name="FDP_151_1_aUrv">#REF!</definedName>
    <definedName name="_lbc6">#REF!</definedName>
    <definedName name="VV">#REF!</definedName>
    <definedName name="BLPR21820040303143552160_2_2">#REF!</definedName>
    <definedName name="RESERVA.CAPITAL">#REF!</definedName>
    <definedName name="__aaa9">#REF!</definedName>
    <definedName name="FDP_134_1_aUrv">#REF!</definedName>
    <definedName name="Base_GastosCombinação">#REF!</definedName>
    <definedName name="Debt_8_3">#REF!</definedName>
    <definedName name="guide">#REF!</definedName>
    <definedName name="Asset_Backed">#REF!</definedName>
    <definedName name="BLPR10520040303143550027">#REF!</definedName>
    <definedName name="rMinorityInterest">#REF!</definedName>
    <definedName name="exhibit">#REF!</definedName>
    <definedName name="_bdm.5BEC41E98E2546CBBD0B72158CC3B974.edm">#REF!</definedName>
    <definedName name="DateHeader">#REF!</definedName>
    <definedName name="wc_analysis">#REF!</definedName>
    <definedName localSheetId="0" name="CF_Beg_Cash">#REF!</definedName>
    <definedName name="_28__123Graph_ACHART_22">#REF!</definedName>
    <definedName name="prolinks_7838205df4d347e098fd7d13f3cde2e2">#REF!</definedName>
    <definedName localSheetId="0" name="out">#REF!</definedName>
    <definedName name="FDP_1_1_aUrv">#REF!</definedName>
    <definedName name="_6">#REF!</definedName>
    <definedName name="C.P.V">#REF!</definedName>
    <definedName name="FDP_25_1_aDrv">#REF!</definedName>
    <definedName localSheetId="0" name="CURRENT_PRICE">#REF!</definedName>
    <definedName name="qqqqqqqqqqqqqq">#REF!</definedName>
    <definedName name="ACCDILb">#REF!</definedName>
    <definedName name="_bdm.B0AF1305EDE049AA8E514A4033BCF1EC.edm">#REF!</definedName>
    <definedName localSheetId="0" name="MUTUO.ATIVO">#REF!</definedName>
    <definedName name="DACRBUD">#REF!</definedName>
    <definedName name="INVESTIMENTOS">#REF!</definedName>
    <definedName name="PL_FDSO">#REF!</definedName>
    <definedName name="_PRN2">#REF!</definedName>
    <definedName name="IgpdiAcum4">#REF!</definedName>
    <definedName name="DUDolFwd">#REF!</definedName>
    <definedName name="_bdm.A033C6DCFA5F45A2A5E0F57311B29F93.edm">#REF!</definedName>
    <definedName name="LAMBCASE">#REF!</definedName>
    <definedName name="LionKDQ3">#REF!</definedName>
    <definedName name="BLPH150">#REF!</definedName>
    <definedName name="transyear">#REF!</definedName>
    <definedName name="targ_name">#REF!</definedName>
    <definedName name="Price_LienCheck">#REF!</definedName>
    <definedName name="CombinadoEna">#REF!</definedName>
    <definedName name="porra">#REF!</definedName>
    <definedName localSheetId="0" name="check1">#REF!</definedName>
    <definedName name="_93__123Graph_FCHART_15">#REF!</definedName>
    <definedName name="FDP_27_1_aUrv">#REF!</definedName>
    <definedName name="__lb4">#REF!</definedName>
    <definedName name="LAMBGS">#REF!</definedName>
    <definedName name="Labor_Efficiency_Rate_Three">#REF!</definedName>
    <definedName localSheetId="0" name="DIN">#REF!</definedName>
    <definedName name="___SUB5">#REF!</definedName>
    <definedName localSheetId="0" name="Sparrow">#REF!</definedName>
    <definedName name="trim2">#REF!</definedName>
    <definedName name="LionBDSharesToADR">#REF!</definedName>
    <definedName name="DACLBUD">#REF!</definedName>
    <definedName name="OrçamentoOpexBVMF">#REF!</definedName>
    <definedName localSheetId="0" name="_cfs1">#REF!</definedName>
    <definedName name="Training">#REF!</definedName>
    <definedName name="Rec_22">#REF!</definedName>
    <definedName name="_aaa8">#REF!</definedName>
    <definedName name="TargSTDebt">#REF!</definedName>
    <definedName name="MULT981e">#REF!</definedName>
    <definedName name="set">#REF!</definedName>
    <definedName name="PL_Straight_PDividend">#REF!</definedName>
    <definedName name="RedC_24">#REF!</definedName>
    <definedName name="PART.MINORITARIOS">#REF!</definedName>
    <definedName name="BLPH90">#REF!</definedName>
    <definedName name="CASESTATS2">#REF!</definedName>
    <definedName name="Ratioswitch">#REF!</definedName>
    <definedName name="_____FCF8">#REF!</definedName>
    <definedName name="MscoInputCell6">#REF!</definedName>
    <definedName name="UsrStdRegSnd">#REF!</definedName>
    <definedName name="BLPR19320040303143550878_2_2">#REF!</definedName>
    <definedName name="Manhattan_Fringe">#REF!</definedName>
    <definedName name="FDP_116_1_aUrv">#REF!</definedName>
    <definedName name="BLPH134">#REF!</definedName>
    <definedName name="MVE_Book">#REF!</definedName>
    <definedName name="__ANO75">#REF!</definedName>
    <definedName localSheetId="0" name="MSACCDIL00">#REF!</definedName>
    <definedName name="p_Depr3">#REF!</definedName>
    <definedName name="BLPR5520040303143542095">#REF!</definedName>
    <definedName name="VOTORANTIM">#REF!</definedName>
    <definedName name="todm">#REF!</definedName>
    <definedName localSheetId="0" name="DP">#REF!</definedName>
    <definedName name="FDP_98_1_aUrv">#REF!</definedName>
    <definedName name="BLPR720040303143540783">#REF!</definedName>
    <definedName name="OBHEAD">#REF!</definedName>
    <definedName name="Acq06NetInc4">#REF!</definedName>
    <definedName name="BLPR18620040303143550738">#REF!</definedName>
    <definedName name="rPricePaidB2">#REF!</definedName>
    <definedName name="DVFA___SG_Net_Profit">#REF!</definedName>
    <definedName name="FDP_5_1_aDrv">#REF!</definedName>
    <definedName name="___FCF8">#REF!</definedName>
    <definedName name="_lbc10">#REF!</definedName>
    <definedName name="Sust_Opex_21">#REF!</definedName>
    <definedName name="valorn_sa">#REF!</definedName>
    <definedName name="Debt_2_3">#REF!</definedName>
    <definedName name="FDP_78_1_aSrv">#REF!</definedName>
    <definedName name="__123Graph_FEVAC">#REF!</definedName>
    <definedName name="Frequence2">#REF!</definedName>
    <definedName name="___sem2">#REF!</definedName>
    <definedName name="_73__123Graph_ECHART_10">#REF!</definedName>
    <definedName name="Tier">#REF!</definedName>
    <definedName localSheetId="0" name="DC">#REF!</definedName>
    <definedName localSheetId="0" name="__123Graph_AMARGINS">#REF!</definedName>
    <definedName name="BLPR520040303143540783_3_3">#REF!</definedName>
    <definedName name="LionBDROETitle">#REF!</definedName>
    <definedName localSheetId="0" name="sss">#REF!</definedName>
    <definedName name="BLPR16120040303143550297_1_2">#REF!</definedName>
    <definedName name="bd">#REF!</definedName>
    <definedName name="_bdm.BE01BDFB9B164A928D5DF206A52A7618.edm">#REF!</definedName>
    <definedName name="PROINC">#REF!</definedName>
    <definedName name="FDP_10_1_aDrv">#REF!</definedName>
    <definedName name="LionBDROEAverage">#REF!</definedName>
    <definedName name="DCDElePer2008Q3">#REF!</definedName>
    <definedName name="_____FCF7">#REF!</definedName>
    <definedName name="BLPR3220040303143540853_3_3">#REF!</definedName>
    <definedName name="FDP_4_1_aUrv">#REF!</definedName>
    <definedName localSheetId="0" name="CurrencySymbol">#REF!</definedName>
    <definedName localSheetId="0" name="XRATE_SWITCH">#REF!</definedName>
    <definedName name="BLPH137">#REF!</definedName>
    <definedName name="DERMGSD">#REF!</definedName>
    <definedName name="VALORES_2">#REF!</definedName>
    <definedName name="BLPH77">#REF!</definedName>
    <definedName name="SING2">#REF!</definedName>
    <definedName name="CEPS00">#REF!</definedName>
    <definedName name="_bdm.783E5CBE46F941769399C2E21487FCCD.edm">#REF!</definedName>
    <definedName name="STMATRIX4">#REF!</definedName>
    <definedName name="____DCF3">#REF!</definedName>
    <definedName localSheetId="0" name="financials1">#REF!</definedName>
    <definedName name="Number_Operations">#REF!</definedName>
    <definedName name="Opex_21">#REF!</definedName>
    <definedName localSheetId="0" name="CONPRYR">#REF!</definedName>
    <definedName localSheetId="0" name="September">#REF!</definedName>
    <definedName localSheetId="0" name="Proposal">#REF!</definedName>
    <definedName localSheetId="0" name="AcqCash">#REF!</definedName>
    <definedName name="___SUB2">#REF!</definedName>
    <definedName localSheetId="0" name="Tabela">#REF!</definedName>
    <definedName localSheetId="0" name="SLTax">#REF!</definedName>
    <definedName name="rPreferredStock">#REF!</definedName>
    <definedName name="Debt_3_1">#REF!</definedName>
    <definedName name="FCCZ">#REF!</definedName>
    <definedName name="BLPH154">#REF!</definedName>
    <definedName name="_lb12">#REF!</definedName>
    <definedName name="Tax_Amortization">#REF!</definedName>
    <definedName name="BLPR9020040303143549997">#REF!</definedName>
    <definedName localSheetId="0" name="Ncomm">#REF!</definedName>
    <definedName localSheetId="0" name="WORKINGCAP">#REF!</definedName>
    <definedName name="BLPR20520040303143552009">#REF!</definedName>
    <definedName localSheetId="0" name="ALSDQK">#REF!</definedName>
    <definedName name="___ANO76">#REF!</definedName>
    <definedName localSheetId="0" name="case3">#REF!</definedName>
    <definedName name="HighPrice">#REF!</definedName>
    <definedName name="FDP_20_1_aUrv">#REF!</definedName>
    <definedName name="fratios">#REF!</definedName>
    <definedName name="cexp_debt">#REF!</definedName>
    <definedName name="SING4">#REF!</definedName>
    <definedName name="FDP_76_1_aDrv">#REF!</definedName>
    <definedName name="_bdm.CFAD62256C804BE4A092DA18A424B998.edm">#REF!</definedName>
    <definedName name="BLPR9820040303143550017">#REF!</definedName>
    <definedName name="MVIC_EBITDA">#REF!</definedName>
    <definedName name="BS_Straight_Debt">#REF!</definedName>
    <definedName name="lbla2">#REF!</definedName>
    <definedName name="DU_4">#REF!</definedName>
    <definedName name="BLPR9620040303143550007_1_1">#REF!</definedName>
    <definedName name="Projeto">#REF!</definedName>
    <definedName name="_bdm.07AF94EA987B464FAD8BD682AD2E7461.edm">#REF!</definedName>
    <definedName name="_bdm.A45DFA9FD74141D5A59699C13F54566B.edm">#REF!</definedName>
    <definedName name="___EPS03">#REF!</definedName>
    <definedName name="Fluxo2">#REF!</definedName>
    <definedName name="BLPR120040303143540763_2_3">#REF!</definedName>
    <definedName localSheetId="0" name="STMATRIX11">#REF!</definedName>
    <definedName localSheetId="0" name="Exit_Year">#REF!</definedName>
    <definedName name="prolinks_a50904258c0b40a6a0dc654087607033">#REF!</definedName>
    <definedName name="__lb15">#REF!</definedName>
    <definedName localSheetId="0" name="ECHTADCR">#REF!</definedName>
    <definedName name="_35__123Graph_BCHART_1">#REF!</definedName>
    <definedName name="FDP_96_1_aSrv">#REF!</definedName>
    <definedName name="achart23">#REF!</definedName>
    <definedName localSheetId="0" name="DT">#REF!</definedName>
    <definedName name="_21">#REF!</definedName>
    <definedName name="__lb5">#REF!</definedName>
    <definedName name="__ANO88">#REF!</definedName>
    <definedName name="BLPR5320040303143542095_1_3">#REF!</definedName>
    <definedName localSheetId="0" name="North_America">#REF!</definedName>
    <definedName name="asda">#REF!</definedName>
    <definedName name="CPRIME">#REF!</definedName>
    <definedName localSheetId="0" name="FINAN.LIQ">#REF!</definedName>
    <definedName name="_bdm.4C3C4B2C17D24E53A301245DCD61E151.edm">#REF!</definedName>
    <definedName name="___ANO73">#REF!</definedName>
    <definedName name="BLPR9020040303143549997_1_1">#REF!</definedName>
    <definedName name="_FAT2">#REF!</definedName>
    <definedName name="rFYEMonth">#REF!</definedName>
    <definedName name="Price_Analytics2018">#REF!</definedName>
    <definedName name="Item">#REF!</definedName>
    <definedName name="_emailFILE">#REF!</definedName>
    <definedName name="BLPR5720040303143542105_3_3">#REF!</definedName>
    <definedName name="Page_1">#REF!</definedName>
    <definedName name="FDP_61_1_aUrv">#REF!</definedName>
    <definedName name="Selic5">#REF!</definedName>
    <definedName name="perServ_perMo">#REF!</definedName>
    <definedName name="pmv">#REF!</definedName>
    <definedName name="ACCDIL00b">#REF!</definedName>
    <definedName name="_lbc14">#REF!</definedName>
    <definedName name="SepOn">#REF!</definedName>
    <definedName name="FDP_144_1_aUrv">#REF!</definedName>
    <definedName localSheetId="0" name="deprec">#REF!</definedName>
    <definedName name="_bdm.386FB3C366E0413CA869AA4F4092560E.edm">#REF!</definedName>
    <definedName localSheetId="0" name="Delivery_Fee">#REF!</definedName>
    <definedName name="Price_DNA2015">#REF!</definedName>
    <definedName name="BLPH185">#REF!</definedName>
    <definedName name="GA_Allocation_Detail">#REF!</definedName>
    <definedName localSheetId="0" name="Receive">#REF!</definedName>
    <definedName name="prolinks_f4a36cd98dab4b8f94f8802cfdfb50a2">#REF!</definedName>
    <definedName name="_bdm.8446535726FF4EC294369088B4FDCAB0.edm">#REF!</definedName>
    <definedName name="HoraInterna">#REF!</definedName>
    <definedName name="DN">#REF!</definedName>
    <definedName name="_bdm.013AE116181E4279B2015F5C3140F4D7.edm">#REF!</definedName>
    <definedName name="BLPR3420040303143540853_3_3">#REF!</definedName>
    <definedName name="Capex_19">#REF!</definedName>
    <definedName localSheetId="0" name="depn">#REF!</definedName>
    <definedName name="BLPR2820040303143540843">#REF!</definedName>
    <definedName name="_bdm.D6BA67C410314D37A73696A431DA4CCC.edm">#REF!</definedName>
    <definedName localSheetId="0" name="MarOff">#REF!</definedName>
    <definedName name="prolinks_9875cfaf06c54306aed1e3ec99fc485b">#REF!</definedName>
    <definedName name="_bdm.92A29DB5BCD749F58E5840D7230DAE7F.edm">#REF!</definedName>
    <definedName localSheetId="0" name="TAX_SUB_ROUTINE">#REF!</definedName>
    <definedName name="BLPR17620040303143550547">#REF!</definedName>
    <definedName localSheetId="0" name="price_case">#REF!</definedName>
    <definedName name="_bdm.26142690C06845A9A3E4930506A936BC.edm">#REF!</definedName>
    <definedName name="BLPR6420040303143548104">#REF!</definedName>
    <definedName name="fev">#REF!</definedName>
    <definedName name="BLPH123">#REF!</definedName>
    <definedName name="base20">#REF!</definedName>
    <definedName name="_lbc13">#REF!</definedName>
    <definedName name="p_LBO_IPOreturncalc">#REF!</definedName>
    <definedName localSheetId="0" name="rAvgStrikePriceLocal">#REF!</definedName>
    <definedName name="_bdm.ACA1141F73D749BAAE6E706A624D1143.edm">#REF!</definedName>
    <definedName localSheetId="0" name="TENDERS">#REF!</definedName>
    <definedName name="Selic7">#REF!</definedName>
    <definedName name="IgpmAcum4">#REF!</definedName>
    <definedName name="IMPBSD">#REF!</definedName>
    <definedName name="__rev2">#REF!</definedName>
    <definedName name="__123Graph_AHIDRATADO">#REF!</definedName>
    <definedName localSheetId="0" name="__123Graph_XCURRENT">#REF!</definedName>
    <definedName name="BLPH156">#REF!</definedName>
    <definedName name="BLPR11820040303143550047_1_1">#REF!</definedName>
    <definedName name="Indice02">#REF!</definedName>
    <definedName name="Debt_11_4">#REF!</definedName>
    <definedName localSheetId="0" name="StdPreSnd">#REF!</definedName>
    <definedName name="mezzcash">#REF!</definedName>
    <definedName name="Migration">#REF!</definedName>
    <definedName name="Debt_2_5">#REF!</definedName>
    <definedName name="__123Graph_ACAPRO">#REF!</definedName>
    <definedName name="TIT">#REF!</definedName>
    <definedName name="__la4">#REF!</definedName>
    <definedName name="FDP_138_1_aUrv">#REF!</definedName>
    <definedName name="sale_basis_cons">#REF!</definedName>
    <definedName localSheetId="0" name="BREAKUP">#REF!</definedName>
    <definedName name="Growth_Outstanding">#REF!</definedName>
    <definedName name="Q1_93">#REF!</definedName>
    <definedName name="_____rev3">#REF!</definedName>
    <definedName name="AcqLTG3">#REF!</definedName>
    <definedName localSheetId="0" name="MAHDOWN">#REF!</definedName>
    <definedName name="_ANO94">#REF!</definedName>
    <definedName name="PeriodIDBegin">#REF!</definedName>
    <definedName name="LionBDInvOpinion4">#REF!</definedName>
    <definedName name="Fluxo10">#REF!</definedName>
    <definedName name="__DCF5">#REF!</definedName>
    <definedName name="CONTREV">#REF!</definedName>
    <definedName name="mincell">#REF!</definedName>
    <definedName name="__x23">#REF!</definedName>
    <definedName name="BLPR5320040303143542095">#REF!</definedName>
    <definedName name="internet">#REF!</definedName>
    <definedName name="WIZARD_Y2Q2R">#REF!</definedName>
    <definedName name="______SUB1">#REF!</definedName>
    <definedName name="_bdm.6E8C60BE1297424C9A8CFC1A3BFFE0CE.edm">#REF!</definedName>
    <definedName name="switch">#REF!</definedName>
    <definedName name="IgdiAcumAno1">#REF!</definedName>
    <definedName name="Debt_17_5">#REF!</definedName>
    <definedName name="BLPH76">#REF!</definedName>
    <definedName name="Price_Portal2013">#REF!</definedName>
    <definedName name="q3_97">#REF!</definedName>
    <definedName name="_18">#REF!</definedName>
    <definedName localSheetId="0" name="DACLPRYR">#REF!</definedName>
    <definedName name="_____sem2">#REF!</definedName>
    <definedName name="_TRC95">#REF!</definedName>
    <definedName name="MARSP">#REF!</definedName>
    <definedName name="BLPR21220040303143552009_1_1">#REF!</definedName>
    <definedName name="DU_9">#REF!</definedName>
    <definedName localSheetId="0" name="cash_target">#REF!</definedName>
    <definedName name="_bdm.FastTrackBookmark.1_2_2025_3_02_17_PM.edm">#REF!</definedName>
    <definedName name="RPO">#REF!</definedName>
    <definedName localSheetId="0" name="Summary_00">#REF!</definedName>
    <definedName name="SING3">#REF!</definedName>
    <definedName name="IMOB.ARREND">#REF!</definedName>
    <definedName name="PROV.LP.CONTIG">#REF!</definedName>
    <definedName name="prolinks_c37e18ce1cd247a0b761a3cf3f872237">#REF!</definedName>
    <definedName name="FDP_154_1_aUrv">#REF!</definedName>
    <definedName name="OMED_SELL">#REF!</definedName>
    <definedName name="LBOBS">#REF!</definedName>
    <definedName localSheetId="0" name="Inflation">#REF!</definedName>
    <definedName name="___SUB6">#REF!</definedName>
    <definedName name="BLPR4520040303143540883">#REF!</definedName>
    <definedName name="Income_tax">#REF!</definedName>
    <definedName name="BLPH46">#REF!</definedName>
    <definedName name="LAMBDP">#REF!</definedName>
    <definedName name="CurrentSO">#REF!</definedName>
    <definedName name="CF_Equity_Earnings">#REF!</definedName>
    <definedName localSheetId="0" name="DACLFORE">#REF!</definedName>
    <definedName name="BLPH17">#REF!</definedName>
    <definedName name="FDP_148_1_aUrv">#REF!</definedName>
    <definedName name="Base_1">#REF!</definedName>
    <definedName localSheetId="0" name="objective">#REF!</definedName>
    <definedName name="Network_Comments">#REF!</definedName>
    <definedName name="common">#REF!</definedName>
    <definedName name="FORNECEDORES">#REF!</definedName>
    <definedName name="__lbc28">#REF!</definedName>
    <definedName name="RUNTIME">#REF!</definedName>
    <definedName name="_rev1">#REF!</definedName>
    <definedName name="OMB">#REF!</definedName>
    <definedName name="ACCDIL99b">#REF!</definedName>
    <definedName name="BLPR15820040303143550257_1_2">#REF!</definedName>
    <definedName name="de">#REF!</definedName>
    <definedName name="bchart21">#REF!</definedName>
    <definedName name="MAHBS">#REF!</definedName>
    <definedName name="BLPR17620040303143550547_1_2">#REF!</definedName>
    <definedName name="amort">#REF!</definedName>
    <definedName name="FDP_136_1_aUrv">#REF!</definedName>
    <definedName name="FDP_117_1_aUrv">#REF!</definedName>
    <definedName name="BLPH42">#REF!</definedName>
    <definedName name="BLPR9120040303143549997_1_1">#REF!</definedName>
    <definedName name="prolinks_57c2a5d19ddc453fa20e5e68f08f2254">#REF!</definedName>
    <definedName name="RES.INC.FISCAL">#REF!</definedName>
    <definedName name="Ir_para_Impressão">#REF!</definedName>
    <definedName localSheetId="0" name="April">#REF!</definedName>
    <definedName name="_lb2">#REF!</definedName>
    <definedName name="ENDOGSD">#REF!</definedName>
    <definedName name="Contract">#REF!</definedName>
    <definedName name="prolinks_7f8e9fdcaf264830a52e2285cef0e790">#REF!</definedName>
    <definedName name="ACCDILd">#REF!</definedName>
    <definedName name="__lb17">#REF!</definedName>
    <definedName name="DEF_DEM_INV_X">#REF!</definedName>
    <definedName localSheetId="0" name="CostEquity">#REF!</definedName>
    <definedName localSheetId="0" name="DCM">#REF!</definedName>
    <definedName name="BLPR13620040303143550077_1_1">#REF!</definedName>
    <definedName name="STRATMULT">#REF!</definedName>
    <definedName name="Income">#REF!</definedName>
    <definedName localSheetId="0" name="whole">#REF!</definedName>
    <definedName name="_62__123Graph_DCHART_15">#REF!</definedName>
    <definedName name="BLPR9620040303143550007">#REF!</definedName>
    <definedName localSheetId="0" name="LUCROS.EXERC">#REF!</definedName>
    <definedName name="DataRange">#REF!</definedName>
    <definedName localSheetId="0" name="aaaaaaaaaa">#REF!</definedName>
    <definedName name="amort_amt">#REF!</definedName>
    <definedName name="AGOVIN">#REF!</definedName>
    <definedName name="FDP_74_1_aUrv">#REF!</definedName>
    <definedName name="FDP_122_1_aDrv">#REF!</definedName>
    <definedName name="rev">#REF!</definedName>
    <definedName localSheetId="0" name="rPreTaxSynergies">#REF!</definedName>
    <definedName name="_4__123Graph_ACHART_3">#REF!</definedName>
    <definedName name="FDP_157_1_aUdv">#REF!</definedName>
    <definedName name="ASSUME">#REF!</definedName>
    <definedName name="Stops_Per_Shift">#REF!</definedName>
    <definedName name="_bdm.702F188C13E84AF6BB9F1FD26169172C.edm">#REF!</definedName>
    <definedName name="p_LBO_BS">#REF!</definedName>
    <definedName name="Debt_15_1">#REF!</definedName>
    <definedName name="DVFA___SG_EPS__DM">#REF!</definedName>
    <definedName name="_DCF11">#REF!</definedName>
    <definedName name="_11__123Graph_BIRR_IRR">#REF!</definedName>
    <definedName name="_bdm.BF143FF13C8F480088D6847223373798.edm">#REF!</definedName>
    <definedName name="__dcf2">#REF!</definedName>
    <definedName name="Output_OPEX_Total">#REF!</definedName>
    <definedName localSheetId="0" name="DFN">#REF!</definedName>
    <definedName name="CRIVO">#REF!</definedName>
    <definedName localSheetId="0" name="Page_3">#REF!</definedName>
    <definedName name="_5_123Graph_bachart_2">#REF!</definedName>
    <definedName localSheetId="0" name="selUSER">#REF!</definedName>
    <definedName name="IpcaAcum12">#REF!</definedName>
    <definedName name="MULT982a30">#REF!</definedName>
    <definedName name="dez">#REF!</definedName>
    <definedName localSheetId="0" name="LFT_PercentualSaldo">#REF!</definedName>
    <definedName name="DCDPitVol2007Q2">#REF!</definedName>
    <definedName name="lbla24">#REF!</definedName>
    <definedName name="BLPR1920040303143540823">#REF!</definedName>
    <definedName name="LionBDSharesInIssue">#REF!</definedName>
    <definedName localSheetId="0" name="FCFa">#REF!</definedName>
    <definedName name="Appraisal_per_Year">#REF!</definedName>
    <definedName localSheetId="0" name="CurrencyCell">#REF!</definedName>
    <definedName localSheetId="0" name="SM_Summary">#REF!</definedName>
    <definedName name="CustomIndexValue">#REF!</definedName>
    <definedName name="____sbs1">#REF!</definedName>
    <definedName name="_bdm.75BB0BC422714AF6BB8DB35C01595BB8.edm">#REF!</definedName>
    <definedName localSheetId="0" name="yearend">#REF!</definedName>
    <definedName name="___ANO78">#REF!</definedName>
    <definedName name="BLPR15220040303143550087">#REF!</definedName>
    <definedName name="FDP_49_1_aUrv">#REF!</definedName>
    <definedName name="kjk">#REF!</definedName>
    <definedName name="Dolar12">#REF!</definedName>
    <definedName name="TELESERVICES">#REF!</definedName>
    <definedName name="WCSWITCH">#REF!</definedName>
    <definedName name="salinc1">#REF!</definedName>
    <definedName name="obs_TrainC">#REF!</definedName>
    <definedName name="prolinks_89c748eb44d840f5b8b296f628f04c6d">#REF!</definedName>
    <definedName name="Extraordinary_Expenses">#REF!</definedName>
    <definedName localSheetId="0" name="Base_Year">#REF!</definedName>
    <definedName name="fy98_shares">#REF!</definedName>
    <definedName name="DateRangeCompMain">#REF!</definedName>
    <definedName name="BLPR2120040303143540823_3_3">#REF!</definedName>
    <definedName name="new_2">#REF!</definedName>
    <definedName name="valmatrix">#REF!</definedName>
    <definedName name="NATLDEBTMGM">#REF!</definedName>
    <definedName name="x_3">#REF!</definedName>
    <definedName name="CASESUM5">#REF!</definedName>
    <definedName name="FF5_51">#REF!</definedName>
    <definedName localSheetId="0" name="QDATE">#REF!</definedName>
    <definedName name="_bdm.1B156DB1B9524BEEB87CA79FC8CE4B58.edm">#REF!</definedName>
    <definedName name="q398_ni">#REF!</definedName>
    <definedName name="DemoFin">#REF!</definedName>
    <definedName name="MULT982e40">#REF!</definedName>
    <definedName name="BLPH52">#REF!</definedName>
    <definedName name="_____REV03">#REF!</definedName>
    <definedName name="BLPR11320040303143550037">#REF!</definedName>
    <definedName localSheetId="0" name="Dolar1">#REF!</definedName>
    <definedName name="airfar">#REF!</definedName>
    <definedName name="SYN">#REF!</definedName>
    <definedName name="HEADCOUNT00">#REF!</definedName>
    <definedName name="bchart7">#REF!</definedName>
    <definedName name="_bdm.D182F8E36CD34496952216B3CB39E610.edm">#REF!</definedName>
    <definedName name="DIARIO2A">#REF!</definedName>
    <definedName name="Targ05NetInc2">#REF!</definedName>
    <definedName name="LAMBCASH">#REF!</definedName>
    <definedName localSheetId="0" name="BdPeriodo">#REF!</definedName>
    <definedName name="INSTALL">#REF!</definedName>
    <definedName name="_lb4">#REF!</definedName>
    <definedName name="_bdm.D42D94D8BF20405B986BD41817FE8BE1.edm">#REF!</definedName>
    <definedName name="_48__123Graph_CCHART_17">#REF!</definedName>
    <definedName name="BLPR10420040303143550027_1_1">#REF!</definedName>
    <definedName name="ACCDIL99e40">#REF!</definedName>
    <definedName name="BLPH104">#REF!</definedName>
    <definedName name="c_pathswitch">#REF!</definedName>
    <definedName name="BLPH92">#REF!</definedName>
    <definedName name="BLPR3720040303143540863">#REF!</definedName>
    <definedName name="BLPR4620040303143540883_1_3">#REF!</definedName>
    <definedName localSheetId="0" name="ENTERPRISE_VALUE">#REF!</definedName>
    <definedName name="_lb11">#REF!</definedName>
    <definedName name="PL_Interest_Income">#REF!</definedName>
    <definedName name="BLPH161">#REF!</definedName>
    <definedName name="FDP_35_1_aUrv">#REF!</definedName>
    <definedName name="cal00_rev">#REF!</definedName>
    <definedName localSheetId="0" name="DPN">#REF!</definedName>
    <definedName localSheetId="0" name="LogInResponse">#REF!</definedName>
    <definedName name="TRAUMAGSD">#REF!</definedName>
    <definedName name="___ANO70">#REF!</definedName>
    <definedName name="DCDElePer2007Q4">#REF!</definedName>
    <definedName name="FirstCategory">#REF!</definedName>
    <definedName name="_12__123Graph_DGROWTH_REVS_B">#REF!</definedName>
    <definedName name="projnum">#REF!</definedName>
    <definedName name="fee">#REF!</definedName>
    <definedName name="WIZARD_Y1CAPREVR">#REF!</definedName>
    <definedName name="BLPR20820040303143552009">#REF!</definedName>
    <definedName name="_128_0__123Graph_BCHAR">#REF!</definedName>
    <definedName name="BS_Intangibles">#REF!</definedName>
    <definedName localSheetId="0" name="INVESTIMENTOS">#REF!</definedName>
    <definedName name="bchart23">#REF!</definedName>
    <definedName name="BLPR3320040303143540853_3_3">#REF!</definedName>
    <definedName name="FDP_100_1_aUrv">#REF!</definedName>
    <definedName name="BLPR1920040303143540823_2_3">#REF!</definedName>
    <definedName name="Debt_5_4">#REF!</definedName>
    <definedName name="_bdm.601CAC241D464C73AE897F51772DB247.edm">#REF!</definedName>
    <definedName name="BLPH102">#REF!</definedName>
    <definedName name="_____REV01">#REF!</definedName>
    <definedName name="BLPR17820040303143550577_2_2">#REF!</definedName>
    <definedName name="PreferredHide">#REF!</definedName>
    <definedName name="Blank6">#REF!</definedName>
    <definedName localSheetId="0" name="CONVERSIONADJ">#REF!</definedName>
    <definedName name="lbla17">#REF!</definedName>
    <definedName name="BetaTable">#REF!</definedName>
    <definedName name="BLPR8620040303143549997">#REF!</definedName>
    <definedName name="FDP_165_1_aUrv">#REF!</definedName>
    <definedName name="BLPR1120040303143540803_1_3">#REF!</definedName>
    <definedName name="BLPR15620040303143550227_1_2">#REF!</definedName>
    <definedName name="GoodwillYears">#REF!</definedName>
    <definedName localSheetId="0" name="Active_User_Profile">#REF!</definedName>
    <definedName localSheetId="0" name="fafas">#REF!</definedName>
    <definedName name="LionBDLatestActual">#REF!</definedName>
    <definedName name="DebtCost">#REF!</definedName>
    <definedName name="BLPR320040303143540773_2_3">#REF!</definedName>
    <definedName name="_bdm.D13D1FB7C4C14C4B9446ADFFBE18DD37.edm">#REF!</definedName>
    <definedName name="FDP_31_1_aUrv">#REF!</definedName>
    <definedName name="rLTMEBIT">#REF!</definedName>
    <definedName name="bchart1">#REF!</definedName>
    <definedName localSheetId="0" name="GA_Allocation_Detail">#REF!</definedName>
    <definedName localSheetId="0" name="Queens_Penetration_Rate">#REF!</definedName>
    <definedName localSheetId="0" name="LIMIT">#REF!</definedName>
    <definedName localSheetId="0" name="EXIG.LIGADAS">#REF!</definedName>
    <definedName name="rOptions">#REF!</definedName>
    <definedName name="Debt_3_3">#REF!</definedName>
    <definedName name="Modelos">#REF!</definedName>
    <definedName name="_bdm.1B5D7014B84A445297320EF540A05BA6.edm">#REF!</definedName>
    <definedName name="_bdm.B69D0B08889B405BA9D5D50FCEDDF639.edm">#REF!</definedName>
    <definedName name="_aaa9">#REF!</definedName>
    <definedName name="rShares2006">#REF!</definedName>
    <definedName name="prolinks_65f5ccec0322448598099cf67ca3635b">#REF!</definedName>
    <definedName name="CliPdrReg">#REF!</definedName>
    <definedName name="Debt_13_2">#REF!</definedName>
    <definedName name="page2">#REF!</definedName>
    <definedName name="PROCEEDS">#REF!</definedName>
    <definedName name="BLPR13420040303143550067_1_1">#REF!</definedName>
    <definedName name="__lb14">#REF!</definedName>
    <definedName name="val_mult">#REF!</definedName>
    <definedName name="___FCF3">#REF!</definedName>
    <definedName name="BLPR3420040303143540853_2_3">#REF!</definedName>
    <definedName name="_bdm.A45ABC3159B14C51A2E654CB7D2B431D.edm">#REF!</definedName>
    <definedName name="ModelHdr">#REF!</definedName>
    <definedName name="DemoFinEna">#REF!</definedName>
    <definedName name="_bdm.513F338F7AC54F11844FF8BDB871080E.edm">#REF!</definedName>
    <definedName localSheetId="0" name="AcqPfrdStock">#REF!</definedName>
    <definedName name="_bdm.363AF1DE9C1D4D0CB8DD92A68E3B502D.edm">#REF!</definedName>
    <definedName name="Convertible_Preferred_3_1">#REF!</definedName>
    <definedName name="Mary_Trans">#REF!</definedName>
    <definedName name="Projeções">#REF!</definedName>
    <definedName name="BLPH84">#REF!</definedName>
    <definedName name="_13_0_0Cwvu.GREY_A">#REF!</definedName>
    <definedName name="MEBIADCR">#REF!</definedName>
    <definedName name="August">#REF!</definedName>
    <definedName name="_____SUB4">#REF!</definedName>
    <definedName name="Saldos_em_final_de_período">#REF!</definedName>
    <definedName name="FDP_47_1_aUrv">#REF!</definedName>
    <definedName localSheetId="0" name="LabelChoice">#REF!</definedName>
    <definedName name="____sem1">#REF!</definedName>
    <definedName name="BLPH40">#REF!</definedName>
    <definedName name="CORP">#REF!</definedName>
    <definedName name="q299_ni">#REF!</definedName>
    <definedName name="Convertible_Debt_5_5">#REF!</definedName>
    <definedName name="Volatility3">#REF!</definedName>
    <definedName name="BLPH162">#REF!</definedName>
    <definedName name="PIKTERM">#REF!</definedName>
    <definedName name="_108__123Graph_XChart_6">#REF!</definedName>
    <definedName name="ADM.HONORARIOS">#REF!</definedName>
    <definedName localSheetId="0" name="CostDebt">#REF!</definedName>
    <definedName name="Convertible_Preferred_4_2">#REF!</definedName>
    <definedName name="FDP_95_1_aSrv">#REF!</definedName>
    <definedName name="_TSU94">#REF!</definedName>
    <definedName name="____EPS01">#REF!</definedName>
    <definedName name="Comb.CI.Ativo">#REF!</definedName>
    <definedName name="_TRC96">#REF!</definedName>
    <definedName name="_bdm.92DE7D12C5B9409D99DE47153EEE9770.edm">#REF!</definedName>
    <definedName name="CAST_BUY">#REF!</definedName>
    <definedName localSheetId="0" name="Variation_in_other_provisions">#REF!</definedName>
    <definedName name="HISTGRAPH">#REF!</definedName>
    <definedName name="TAB_MIN_DEN">#REF!</definedName>
    <definedName name="prolinks_041f9f0713bc4fee89d65b1959651f9a">#REF!</definedName>
    <definedName name="Debt_12_2">#REF!</definedName>
    <definedName localSheetId="0" name="IgdiAcumAno1">#REF!</definedName>
    <definedName localSheetId="0" name="CEPS01">#REF!</definedName>
    <definedName localSheetId="0" name="secondary">#REF!</definedName>
    <definedName name="WIZARD_Y1Q1E">#REF!</definedName>
    <definedName name="BILLSUM">#REF!</definedName>
    <definedName name="rEPS2007Local">#REF!</definedName>
    <definedName localSheetId="0" name="common">#REF!</definedName>
    <definedName name="WIZARD_Y2Q1R">#REF!</definedName>
    <definedName name="CONTR.SOCIAL">#REF!</definedName>
    <definedName name="Frequency">#REF!</definedName>
    <definedName name="__lb31">#REF!</definedName>
    <definedName name="Nil">#REF!</definedName>
    <definedName name="LionBDSplitFactor">#REF!</definedName>
    <definedName name="s_7">#REF!</definedName>
    <definedName name="BLPH114">#REF!</definedName>
    <definedName name="assets">#REF!</definedName>
    <definedName name="MAHINC">#REF!</definedName>
    <definedName name="PROD.PROC">#REF!</definedName>
    <definedName name="wcass1">#REF!</definedName>
    <definedName name="Blank8">#REF!</definedName>
    <definedName localSheetId="0" name="EXPBUD">#REF!</definedName>
    <definedName name="Q1_88">#REF!</definedName>
    <definedName name="Price_DNA">#REF!</definedName>
    <definedName name="FDP_17_1_aDrv">#REF!</definedName>
    <definedName name="CONSCASHD">#REF!</definedName>
    <definedName name="_bdm.0DF51E9A353B4937B5963F8B71330E86.edm">#REF!</definedName>
    <definedName name="Percent_of_Food_Dollars_Ending">#REF!</definedName>
    <definedName name="cchart32">#REF!</definedName>
    <definedName name="DFN">#REF!</definedName>
    <definedName name="_bdm.B4D958C3773E4C26B7161ADA44F93D55.edm">#REF!</definedName>
    <definedName name="PLMONTH">#REF!</definedName>
    <definedName name="_bdm.67CA7B64A1254329A3E52CD9419564A7.edm">#REF!</definedName>
    <definedName name="rSTDebt">#REF!</definedName>
    <definedName name="s_18">#REF!</definedName>
    <definedName name="achart11">#REF!</definedName>
    <definedName localSheetId="0" name="quadros">#REF!</definedName>
    <definedName name="__PRN1">#REF!</definedName>
    <definedName name="XXXXXXXXXXXXXXX">#REF!</definedName>
    <definedName name="Footnote1">#REF!</definedName>
    <definedName name="Categ">#REF!</definedName>
    <definedName name="DCD">#REF!</definedName>
    <definedName name="copy_area">#REF!</definedName>
    <definedName name="Dollar_Value">#REF!</definedName>
    <definedName name="_bdm.8C542EDE2E714B6D98039218BFC6B009.edm">#REF!</definedName>
    <definedName name="LionKDNetDivQ4">#REF!</definedName>
    <definedName name="_20">#REF!</definedName>
    <definedName name="Price_LienCheck2013">#REF!</definedName>
    <definedName name="Targ05NetInc3">#REF!</definedName>
    <definedName name="Volatility2">#REF!</definedName>
    <definedName name="_aaa6">#REF!</definedName>
    <definedName name="_lb1">#REF!</definedName>
    <definedName localSheetId="0" name="etesse">#REF!</definedName>
    <definedName name="WIZARD_Y1Q2E">#REF!</definedName>
    <definedName name="IRRTable">#REF!</definedName>
    <definedName name="_2__123Graph_AChart_2A">#REF!</definedName>
    <definedName name="asset">#REF!</definedName>
    <definedName name="Rtitle">#REF!</definedName>
    <definedName name="MARYBS">#REF!</definedName>
    <definedName localSheetId="0" name="CF_Inventory">#REF!</definedName>
    <definedName name="__x19">#REF!</definedName>
    <definedName name="Manhattan_Zone7_Penetration_Rate">#REF!</definedName>
    <definedName name="_bdm.9447702CAD0A45A8BF37FBFBAFFED294.edm">#REF!</definedName>
    <definedName name="_bdm.87B5A61F2AA14D74865344A372D5CD78.edm">#REF!</definedName>
    <definedName name="DLStart">#REF!</definedName>
    <definedName name="Rwvu.Page2.">#REF!</definedName>
    <definedName name="Convertible_Debt_6_1">#REF!</definedName>
    <definedName name="Venda">#REF!</definedName>
    <definedName name="IgpmAcum2">#REF!</definedName>
    <definedName name="_bdm.4D69D57E635E45F982ED25E3765D3EDF.edm">#REF!</definedName>
    <definedName localSheetId="0" name="EST.MATERIAIS">#REF!</definedName>
    <definedName name="____dcf1">#REF!</definedName>
    <definedName name="BLPH118">#REF!</definedName>
    <definedName name="_lb24">#REF!</definedName>
    <definedName name="BLPR1120040303143540803_3_3">#REF!</definedName>
    <definedName name="__lbc16">#REF!</definedName>
    <definedName localSheetId="0" name="ROWINC">#REF!</definedName>
    <definedName name="EPSPrint">#REF!</definedName>
    <definedName name="FDP_65_1_rUrv">#REF!</definedName>
    <definedName name="Feriados">#REF!</definedName>
    <definedName name="interl">#REF!</definedName>
    <definedName name="PreTaxNom">#REF!</definedName>
    <definedName name="Convertible_Debt_2_4">#REF!</definedName>
    <definedName name="Weight">#REF!</definedName>
    <definedName localSheetId="0" name="copy_area">#REF!</definedName>
    <definedName name="__PBT01">#REF!</definedName>
    <definedName name="BLPR17120040303143550457_1_2">#REF!</definedName>
    <definedName name="_bdm.6290E9216B1E49C19BB4ED821F88F175.edm">#REF!</definedName>
    <definedName name="s_6">#REF!</definedName>
    <definedName name="___rev3">#REF!</definedName>
    <definedName name="_bdm.C409E645325E4BE1A8984137B0BC61D4.edm">#REF!</definedName>
    <definedName name="prolinks_2167b06f13f14d4caff8fed552a7a819">#REF!</definedName>
    <definedName localSheetId="0" name="COMPRAS">#REF!</definedName>
    <definedName name="FDP_107_1_aUrv">#REF!</definedName>
    <definedName name="___ANO94">#REF!</definedName>
    <definedName name="DP">#REF!</definedName>
    <definedName name="FDP_32_1_aDrv">#REF!</definedName>
    <definedName name="LionBDYearEnd">#REF!</definedName>
    <definedName name="FDP_55_1_aUrv">#REF!</definedName>
    <definedName name="ACCDIL01b">#REF!</definedName>
    <definedName name="Production">#REF!</definedName>
    <definedName name="HYINTEREST">#REF!</definedName>
    <definedName name="VS">#REF!</definedName>
    <definedName name="FOREX">#REF!</definedName>
    <definedName name="BLPR5020040303143542085_3_3">#REF!</definedName>
    <definedName name="endcell">#REF!</definedName>
    <definedName name="_bdm.DBFF013982B4411BB9BDA9548860E3C8.edm">#REF!</definedName>
    <definedName name="BLPR21920040303143552180">#REF!</definedName>
    <definedName name="Invoice">#REF!</definedName>
    <definedName name="BLPR5620040303143542105_1_3">#REF!</definedName>
    <definedName name="BLPH89">#REF!</definedName>
    <definedName name="Expense_Summary">#REF!</definedName>
    <definedName name="Convertible_Debt_4_3">#REF!</definedName>
    <definedName name="BLPR3520040303143540853_1_3">#REF!</definedName>
    <definedName name="BLPH151">#REF!</definedName>
    <definedName localSheetId="0" name="CASESTATS1">#REF!</definedName>
    <definedName name="__aaa10">#REF!</definedName>
    <definedName name="_bdm.DB9C9D7B1EB74331BAE1461C85E2D2C2.edm">#REF!</definedName>
    <definedName localSheetId="0" name="mezzcash">#REF!</definedName>
    <definedName name="Quadro_II___Base_monetária_e_componentes">#REF!</definedName>
    <definedName name="MAHDOWN">#REF!</definedName>
    <definedName name="_bdm.D4DC257E847E4EB5A478383A94E73413.edm">#REF!</definedName>
    <definedName name="FDP_137_1_aUrv">#REF!</definedName>
    <definedName name="Straight_Preferred_5_4">#REF!</definedName>
    <definedName name="StartNwsLtr">#REF!</definedName>
    <definedName name="____SUB6">#REF!</definedName>
    <definedName name="__123Graph_APRINCIPAL">#REF!</definedName>
    <definedName name="rShares2003">#REF!</definedName>
    <definedName name="prolinks_c3e6781373fe424aab5e62bb0afa54bb">#REF!</definedName>
    <definedName name="Qtr_2">#REF!</definedName>
    <definedName name="Hidden2">#REF!</definedName>
    <definedName name="Questar_Assums2">#REF!</definedName>
    <definedName name="BS_Other_LTAssets">#REF!</definedName>
    <definedName name="CombinadoHG">#REF!</definedName>
    <definedName name="MULT982b30">#REF!</definedName>
    <definedName name="_bdm.C5A29E6624984404A4A98B9782A32C48.edm">#REF!</definedName>
    <definedName name="WIZARD_Y1Q1R">#REF!</definedName>
    <definedName name="Debt_3_2">#REF!</definedName>
    <definedName localSheetId="0" name="Intro2">#REF!</definedName>
    <definedName name="BLPH178">#REF!</definedName>
    <definedName name="__DCF3">#REF!</definedName>
    <definedName name="wcass3">#REF!</definedName>
    <definedName name="FDP_29_1_aUrv">#REF!</definedName>
    <definedName name="BLPR21020040303143552009">#REF!</definedName>
    <definedName name="LionPeriodDates">#REF!</definedName>
    <definedName name="BLPR1520040303143540813_2_3">#REF!</definedName>
    <definedName localSheetId="0" name="MEBIADCR">#REF!</definedName>
    <definedName name="_bdm.12DB95497F504EF9A36F4FABCB9E48A3.edm">#REF!</definedName>
    <definedName name="PLA_99">#REF!</definedName>
    <definedName name="COPTION">#REF!</definedName>
    <definedName name="q1_96">#REF!</definedName>
    <definedName name="NATLDUNSDEM">#REF!</definedName>
    <definedName name="so_no2">#REF!</definedName>
    <definedName name="page3">#REF!</definedName>
    <definedName name="BLPR8020040303143549987_1_1">#REF!</definedName>
    <definedName name="WIZARD_Y2YEARE">#REF!</definedName>
    <definedName name="COD_EST">#REF!</definedName>
    <definedName name="maxcell">#REF!</definedName>
    <definedName name="net">#REF!</definedName>
    <definedName name="BLPH139">#REF!</definedName>
    <definedName name="IgpmAcumAno11">#REF!</definedName>
    <definedName name="_ANO75">#REF!</definedName>
    <definedName name="NEW_GW_TAX">#REF!</definedName>
    <definedName name="_x23">#REF!</definedName>
    <definedName name="___ANO88">#REF!</definedName>
    <definedName name="___REV03">#REF!</definedName>
    <definedName localSheetId="0" name="Pension_Provisions">#REF!</definedName>
    <definedName name="_ANO90">#REF!</definedName>
    <definedName localSheetId="0" name="next_qtr_eps">#REF!</definedName>
    <definedName name="BS_AR">#REF!</definedName>
    <definedName localSheetId="0" name="DCDElePer2006YY">#REF!</definedName>
    <definedName name="__cfs1">#REF!</definedName>
    <definedName name="BLPR14020040303143550077_1_1">#REF!</definedName>
    <definedName name="_rev3">#REF!</definedName>
    <definedName name="network">#REF!</definedName>
    <definedName name="_14__123Graph_XChart_2A">#REF!</definedName>
    <definedName localSheetId="0" name="ofis_ltdebt">#REF!</definedName>
    <definedName localSheetId="0" name="BARRY">#REF!</definedName>
    <definedName name="BLPR14820040303143550077">#REF!</definedName>
    <definedName name="FDP_130_1_lDrv">#REF!</definedName>
    <definedName name="LionPieChartOldRevNo1">#REF!</definedName>
    <definedName name="achart2">#REF!</definedName>
    <definedName name="Fcomm">#REF!</definedName>
    <definedName name="DBB">#REF!</definedName>
    <definedName name="__SUB4">#REF!</definedName>
    <definedName name="BLPH99">#REF!</definedName>
    <definedName localSheetId="0" name="DU_10">#REF!</definedName>
    <definedName name="IMP_SELL">#REF!</definedName>
    <definedName name="Address2">#REF!</definedName>
    <definedName localSheetId="0" name="ratios">#REF!</definedName>
    <definedName name="LionPieCharts">#REF!</definedName>
    <definedName name="WIZARD_Y1E">#REF!</definedName>
    <definedName name="BLPR5020040303143542085_1_3">#REF!</definedName>
    <definedName name="BLPR2620040303143540833_3_3">#REF!</definedName>
    <definedName name="____FCF7">#REF!</definedName>
    <definedName name="prolinks_e50ff0e3e49a490e9feed6e428be0028">#REF!</definedName>
    <definedName name="UFIRATUAL">#REF!</definedName>
    <definedName name="IgpdiAcum2">#REF!</definedName>
    <definedName localSheetId="0" name="Hidden">#REF!</definedName>
    <definedName name="_bdm.04316B576B4F493DB71171AC60F11C50.edm">#REF!</definedName>
    <definedName name="DPS__DM__Ord">#REF!</definedName>
    <definedName name="BLPR2120040303143540823_1_3">#REF!</definedName>
    <definedName name="DESP.REC.N.OP">#REF!</definedName>
    <definedName name="bchart31">#REF!</definedName>
    <definedName name="IR_1">#REF!</definedName>
    <definedName name="_lbc19">#REF!</definedName>
    <definedName localSheetId="0" name="Marketing">#REF!</definedName>
    <definedName name="p_LBO_Returns">#REF!</definedName>
    <definedName name="x_4">#REF!</definedName>
    <definedName name="BLPR2520040303143540833">#REF!</definedName>
    <definedName name="Debt_14_2">#REF!</definedName>
    <definedName name="Hidden4">#REF!</definedName>
    <definedName name="BLPR11020040303143550027_1_1">#REF!</definedName>
    <definedName name="Picasso">#REF!</definedName>
    <definedName name="FDP_77_1_aSrv">#REF!</definedName>
    <definedName name="_bdm.CB068EBCF3DE421B8DBDF4A975ADD2E0.edm">#REF!</definedName>
    <definedName localSheetId="0" name="ELPHEAD">#REF!</definedName>
    <definedName name="_bdm.B841EFFE12E9488DAE41676E987A9AA9.edm">#REF!</definedName>
    <definedName name="min_cash">#REF!</definedName>
    <definedName name="LastPrice">#REF!</definedName>
    <definedName localSheetId="0" name="AcqLTG1">#REF!</definedName>
    <definedName name="FDP_89_1_aSrv">#REF!</definedName>
    <definedName localSheetId="0" name="_7">#REF!</definedName>
    <definedName name="Mix_de_Produção">#REF!</definedName>
    <definedName name="gap_min_cash">#REF!</definedName>
    <definedName localSheetId="0" name="fy_97">#REF!</definedName>
    <definedName name="BLPR5220040303143542095">#REF!</definedName>
    <definedName name="FDP_115_1_aUrv">#REF!</definedName>
    <definedName name="PL_Operating_Expenses">#REF!</definedName>
    <definedName name="CF_AR">#REF!</definedName>
    <definedName name="__123Graph_AMTBE">#REF!</definedName>
    <definedName name="__123Graph_XSACAS">#REF!</definedName>
    <definedName name="Sust_Capex_20">#REF!</definedName>
    <definedName name="Sust_OutrO_19">#REF!</definedName>
    <definedName name="__x32">#REF!</definedName>
    <definedName name="_96__123Graph_FCHART_6">#REF!</definedName>
    <definedName localSheetId="0" name="Long_Island_Penetration_Rate">#REF!</definedName>
    <definedName name="rPreTaxSynergies">#REF!</definedName>
    <definedName name="BLPR17920040303143550597">#REF!</definedName>
    <definedName name="_x8">#REF!</definedName>
    <definedName name="dois">#REF!</definedName>
    <definedName name="rAvgStrikePriceUSD">#REF!</definedName>
    <definedName name="BLPR9320040303143550007_1_1">#REF!</definedName>
    <definedName name="FX_97">#REF!</definedName>
    <definedName name="INV.OUTROS">#REF!</definedName>
    <definedName name="BLPR22120040303143552230">#REF!</definedName>
    <definedName name="CONFORE">#REF!</definedName>
    <definedName name="Inflation">#REF!</definedName>
    <definedName localSheetId="0" name="_9A">#REF!</definedName>
    <definedName name="BLPH157">#REF!</definedName>
    <definedName name="_bdm.CDEB599349BF4A10A5D92327C92428A3.edm">#REF!</definedName>
    <definedName name="rSharesCurrentDate">#REF!</definedName>
    <definedName name="MASTER">#REF!</definedName>
    <definedName name="__lb22">#REF!</definedName>
    <definedName name="Printinc">#REF!</definedName>
    <definedName name="MULT982d20">#REF!</definedName>
    <definedName name="_bdm.3731510D1F304F91A9A4198F567464E7.edm">#REF!</definedName>
    <definedName name="_bdm.E21F79B8ABD449838B86A6EF3BBDAD90.edm">#REF!</definedName>
    <definedName name="valor_crednsa">#REF!</definedName>
    <definedName name="StartPRA2">#REF!</definedName>
    <definedName name="__ANO78">#REF!</definedName>
    <definedName name="Debt_4_1">#REF!</definedName>
    <definedName name="prolinks_1eb92ad33ebf43fcb180ae86f96faa5c">#REF!</definedName>
    <definedName name="BLPR11520040303143550037">#REF!</definedName>
    <definedName localSheetId="0" name="IpcaAcum1">#REF!</definedName>
    <definedName name="_61__123Graph_DCHART_14">#REF!</definedName>
    <definedName name="_bdm.52F8055BA91544FE86CEC076F68A89ED.edm">#REF!</definedName>
    <definedName name="__123Graph_AMARGINS">#REF!</definedName>
    <definedName name="inputs">#REF!</definedName>
    <definedName name="YTDGLASS">#REF!</definedName>
    <definedName localSheetId="0" name="months">#REF!</definedName>
    <definedName name="prolinks_0aad2374bbce4291bde5ed55aecf60fd">#REF!</definedName>
    <definedName localSheetId="0" name="Integration">#REF!</definedName>
    <definedName name="imp_attributes">#REF!</definedName>
    <definedName name="BLPR5920040303143548074_1_1">#REF!</definedName>
    <definedName name="MULT982b20">#REF!</definedName>
    <definedName name="marg4">#REF!</definedName>
    <definedName name="_____PRN1">#REF!</definedName>
    <definedName name="FDP_91_1_aSrv">#REF!</definedName>
    <definedName name="BLPR13620040303143550077">#REF!</definedName>
    <definedName name="rLTMEBITDA">#REF!</definedName>
    <definedName name="_98__123Graph_FCHART_8">#REF!</definedName>
    <definedName name="BS_Inventory">#REF!</definedName>
    <definedName localSheetId="0" name="caps">#REF!</definedName>
    <definedName name="BLPR8920040303143549997_1_1">#REF!</definedName>
    <definedName name="IRR_2016_VPL">#REF!</definedName>
    <definedName localSheetId="0" name="mincash">#REF!</definedName>
    <definedName localSheetId="0" name="UsrStdPreSnd">#REF!</definedName>
    <definedName name="MSACCDIL00">#REF!</definedName>
    <definedName name="BLPR120040303143540763_1_3">#REF!</definedName>
    <definedName name="_bdm.F77D934A1F7C40C9BBAC55F06C96B4F1.edm">#REF!</definedName>
    <definedName name="LionBDAction">#REF!</definedName>
    <definedName name="_bdm.18EC78FAFD8B45A8858189E1B122122A.edm">#REF!</definedName>
    <definedName name="IpcaAcum6">#REF!</definedName>
    <definedName name="CURRENT_PRICE">#REF!</definedName>
    <definedName name="lost">#REF!</definedName>
    <definedName name="MarketPrice">#REF!</definedName>
    <definedName name="YearEndMonth">#REF!</definedName>
    <definedName name="BLPH165">#REF!</definedName>
    <definedName name="SING1">#REF!</definedName>
    <definedName name="_56__123Graph_D_Chart_1A">#REF!</definedName>
    <definedName name="CASESUMD">#REF!</definedName>
    <definedName name="BLPR3920040303143540863_1_3">#REF!</definedName>
    <definedName localSheetId="0" name="CASH_FLOW_ANALYSIS">#REF!</definedName>
    <definedName name="__123Graph_ASACAS">#REF!</definedName>
    <definedName name="Debt_16_5">#REF!</definedName>
    <definedName name="CapExGrowth">#REF!</definedName>
    <definedName name="FDP_21_1_aDrv">#REF!</definedName>
    <definedName name="N">#REF!</definedName>
    <definedName name="FDP_70_1_aUrv">#REF!</definedName>
    <definedName localSheetId="0" name="CF_Dividends">#REF!</definedName>
    <definedName name="ALL">#REF!</definedName>
    <definedName localSheetId="0" name="CapexYear">#REF!</definedName>
    <definedName name="BLPR5320040303143542095_3_3">#REF!</definedName>
    <definedName name="Minimum_Customer_Service_Agents_Required">#REF!</definedName>
    <definedName name="prolinks_b2fb89ee4224464ea1e8f90d3ca25dbd">#REF!</definedName>
    <definedName name="Convertible_Debt_3_2">#REF!</definedName>
    <definedName name="rExchangeRate">#REF!</definedName>
    <definedName name="Rec_23">#REF!</definedName>
    <definedName name="AxesFormat">#REF!</definedName>
    <definedName name="BLPR16920040303143550427">#REF!</definedName>
    <definedName localSheetId="0" name="val_mult">#REF!</definedName>
    <definedName name="TRANSACTIONCOST">#REF!</definedName>
    <definedName name="ENDOWCD">#REF!</definedName>
    <definedName name="BLPR19020040303143550818_1_2">#REF!</definedName>
    <definedName name="__ATI2">#REF!</definedName>
    <definedName name="_bdm.870B1CFBCBBF49A09E2A1DFA1F2D8F90.edm">#REF!</definedName>
    <definedName name="prolinks_937d89da486f45e5b7e9a6d72dafc6b7">#REF!</definedName>
    <definedName name="BLPR20920040303143552009_1_1">#REF!</definedName>
    <definedName name="__pg1">#REF!</definedName>
    <definedName name="MACROS">#REF!</definedName>
    <definedName name="LionBDADRPrice">#REF!</definedName>
    <definedName name="wcliab1">#REF!</definedName>
    <definedName name="DATA1">#REF!</definedName>
    <definedName name="caps">#REF!</definedName>
    <definedName name="Empresa">#REF!</definedName>
    <definedName name="prolinks_386eff4b40f74230b2b70b56da18e75d">#REF!</definedName>
    <definedName name="FDP_16_1_aDrv">#REF!</definedName>
    <definedName localSheetId="0" name="Frequence2">#REF!</definedName>
    <definedName name="FDP_93_1_aUrv">#REF!</definedName>
    <definedName name="TTF95A">#REF!</definedName>
    <definedName name="ACTUAL">#REF!</definedName>
    <definedName name="prolinks_84c14fe5cec64619be293a5ba512336d">#REF!</definedName>
    <definedName name="BARRY">#REF!</definedName>
    <definedName name="Accrued_Expenditure">#REF!</definedName>
    <definedName name="PFCONV">#REF!</definedName>
    <definedName name="consa">#REF!</definedName>
    <definedName name="Base_Deduções">#REF!</definedName>
    <definedName localSheetId="0" name="debt3">#REF!</definedName>
    <definedName name="BLPR2320040303143540833">#REF!</definedName>
    <definedName name="BLPR19620040303143550948_1_2">#REF!</definedName>
    <definedName name="PdrPreRec">#REF!</definedName>
    <definedName name="_bdm.4DD239B53A6D4C57BB9295E600623514.edm">#REF!</definedName>
    <definedName name="Straight_Preferred_4_2">#REF!</definedName>
    <definedName name="_x4">#REF!</definedName>
    <definedName name="Convertible_Debt_6_2">#REF!</definedName>
    <definedName name="_s1">#REF!</definedName>
    <definedName name="q299_rev">#REF!</definedName>
    <definedName name="Peripherals">#REF!</definedName>
    <definedName localSheetId="0" name="Debt_1_2">#REF!</definedName>
    <definedName name="investment">#REF!</definedName>
    <definedName name="sale_basis">#REF!</definedName>
    <definedName localSheetId="0" name="Address1">#REF!</definedName>
    <definedName name="_ANO72">#REF!</definedName>
    <definedName name="Div2_Name">#REF!</definedName>
    <definedName name="_bdm.8A48D40265AF4A9BBE46712FAD0E8AEB.edm">#REF!</definedName>
    <definedName name="OptionHide">#REF!</definedName>
    <definedName name="LionBDInvOpinion3">#REF!</definedName>
    <definedName name="BLPR13220040303143550067">#REF!</definedName>
    <definedName name="WIZARD_NETCASHPERSHARE">#REF!</definedName>
    <definedName name="s_17">#REF!</definedName>
    <definedName name="BLPH82">#REF!</definedName>
    <definedName name="OUTSP">#REF!</definedName>
    <definedName name="RODAPE6">#REF!</definedName>
    <definedName name="Resumo">#REF!</definedName>
    <definedName localSheetId="0" name="IRR">#REF!</definedName>
    <definedName name="INCREMENTAL">#REF!</definedName>
    <definedName name="MULT982d30">#REF!</definedName>
    <definedName name="BLPR7420040303143549976">#REF!</definedName>
    <definedName name="DemoFinHG">#REF!</definedName>
    <definedName name="CASESTATS4">#REF!</definedName>
    <definedName name="Debt_5_1">#REF!</definedName>
    <definedName name="BLPR17720040303143550557">#REF!</definedName>
    <definedName name="latest_K">#REF!</definedName>
    <definedName name="DU_7">#REF!</definedName>
    <definedName name="__lb6">#REF!</definedName>
    <definedName name="BLPR21820040303143552160_1_2">#REF!</definedName>
    <definedName name="page1">#REF!</definedName>
    <definedName name="sum">#REF!</definedName>
    <definedName localSheetId="0" name="dasrun">#REF!</definedName>
    <definedName name="Debt_11_3">#REF!</definedName>
    <definedName localSheetId="0" name="fy_00">#REF!</definedName>
    <definedName localSheetId="0" name="__cfs1">#REF!</definedName>
    <definedName name="BLPR8220040303143549987_1_1">#REF!</definedName>
    <definedName name="VALORES_4">#REF!</definedName>
    <definedName name="BLPH152">#REF!</definedName>
    <definedName name="_bdm.5290595669474F36A37D6136C8BB91D1.edm">#REF!</definedName>
    <definedName name="grafico">#REF!</definedName>
    <definedName name="selUSER">#REF!</definedName>
    <definedName name="Base_DespesasFinanceiras">#REF!</definedName>
    <definedName localSheetId="0" name="percentage">#REF!</definedName>
    <definedName localSheetId="0" name="chkIpoPrice">#REF!</definedName>
    <definedName name="LionBDChangeReason">#REF!</definedName>
    <definedName name="jul">#REF!</definedName>
    <definedName name="Rwvu.Page3.">#REF!</definedName>
    <definedName name="LionBDADRAction">#REF!</definedName>
    <definedName name="Fluxo7">#REF!</definedName>
    <definedName name="cexp_cash">#REF!</definedName>
    <definedName localSheetId="0" name="ASPT_Price">#REF!</definedName>
    <definedName name="yr_ago_rev">#REF!</definedName>
    <definedName localSheetId="0" name="Print_Area_MI">#REF!</definedName>
    <definedName name="IgpmAcumAno12">#REF!</definedName>
    <definedName name="Buildings_per_District">#REF!</definedName>
    <definedName name="BLPR6720040303143549966">#REF!</definedName>
    <definedName name="_bdm.B60AF8CDE93647D39FB3816BC153DD85.edm">#REF!</definedName>
    <definedName localSheetId="0" name="Hourly_Customer_Service_Rate_OAK">#REF!</definedName>
    <definedName name="BLPH66">#REF!</definedName>
    <definedName name="Cash_Flow">#REF!</definedName>
    <definedName name="BLPR11820040303143550047">#REF!</definedName>
    <definedName name="CEPS03">#REF!</definedName>
    <definedName name="Buildings_per_Year">#REF!</definedName>
    <definedName name="Structure">#REF!</definedName>
    <definedName name="Fiscal_1989">#REF!</definedName>
    <definedName name="_8B">#REF!</definedName>
    <definedName name="BLPR320040303143540773_1_3">#REF!</definedName>
    <definedName name="BLPH81">#REF!</definedName>
    <definedName localSheetId="0" name="divest">#REF!</definedName>
    <definedName name="Size_Sample">#REF!</definedName>
    <definedName name="BLPH51">#REF!</definedName>
    <definedName name="CF_NI">#REF!</definedName>
    <definedName name="q2_99">#REF!</definedName>
    <definedName name="PPA_currency">#REF!</definedName>
    <definedName name="_____SUB5">#REF!</definedName>
    <definedName localSheetId="0" name="PrintTitle1">#REF!</definedName>
    <definedName name="LBO1e">#REF!</definedName>
    <definedName name="Base_ReceitasEquivalencia">#REF!</definedName>
    <definedName name="_26">#REF!</definedName>
    <definedName name="_bdm.A2442A8B6182487A83887C8B5EC7588E.edm">#REF!</definedName>
    <definedName localSheetId="0" name="Price">#REF!</definedName>
    <definedName name="Sust_OutrO_22">#REF!</definedName>
    <definedName name="CompanyTicker1">#REF!</definedName>
    <definedName name="s_29">#REF!</definedName>
    <definedName name="LionBDPriceBookRatio">#REF!</definedName>
    <definedName name="_bdm.7C1D8551B4BD4A6D84B8CF22BBAEEED7.edm">#REF!</definedName>
    <definedName localSheetId="0" name="eqshare">#REF!</definedName>
    <definedName name="new_3">#REF!</definedName>
    <definedName name="FDP_22_1_aDrv">#REF!</definedName>
    <definedName localSheetId="0" name="DCO">#REF!</definedName>
    <definedName name="_bdm.A90A9838173A41C2968F4A8B8DC09A5B.edm">#REF!</definedName>
    <definedName localSheetId="0" name="Ltitle">#REF!</definedName>
    <definedName name="_bdm.9A9512BA309142BBB547DCEF4CA0FE5B.edm">#REF!</definedName>
    <definedName name="lbla14">#REF!</definedName>
    <definedName name="_2A">#REF!</definedName>
    <definedName name="_bdm.D7C94B8E8C624050B4BF38484DDDEA0C.edm">#REF!</definedName>
    <definedName name="LionBDCurrency">#REF!</definedName>
    <definedName name="IR_2">#REF!</definedName>
    <definedName name="DEP.REC">#REF!</definedName>
    <definedName name="Convertible_Debt_5_3">#REF!</definedName>
    <definedName name="ATI">#REF!</definedName>
    <definedName name="PrintGraph">#REF!</definedName>
    <definedName localSheetId="0" name="ELPSUM">#REF!</definedName>
    <definedName name="ACCDIL00c">#REF!</definedName>
    <definedName localSheetId="0" name="__123Graph_BMARGINS">#REF!</definedName>
    <definedName name="_bdm.E48CEEF55EFD4DC2B86E2633B5E8FD8C.edm">#REF!</definedName>
    <definedName name="_bdm.16974B129EBD45FD963A72D1CDB40E20.edm">#REF!</definedName>
    <definedName name="__QTR1">#REF!</definedName>
    <definedName name="FDP_40_1_aUrv">#REF!</definedName>
    <definedName name="Options_and_Warrants_2_2">#REF!</definedName>
    <definedName name="Debt_8_2">#REF!</definedName>
    <definedName localSheetId="0" name="COPTION">#REF!</definedName>
    <definedName name="BLPR6320040303143548074">#REF!</definedName>
    <definedName name="Comb.LS.Ativo">#REF!</definedName>
    <definedName name="_84__123Graph_ECHART_7">#REF!</definedName>
    <definedName name="FreezeCell">#REF!</definedName>
    <definedName name="dcfmatrix">#REF!</definedName>
    <definedName name="prolinks_fec00bc719ae480a94784410c534880b">#REF!</definedName>
    <definedName name="_bdm.B46DF7B706F140F1850E9010E105B421.edm">#REF!</definedName>
    <definedName name="BLPH148">#REF!</definedName>
    <definedName name="MscoInputCell8">#REF!</definedName>
    <definedName name="q3_99">#REF!</definedName>
    <definedName name="BLPR2420040303143540833">#REF!</definedName>
    <definedName name="TotalVol">#REF!</definedName>
    <definedName name="Price_DNA2016">#REF!</definedName>
    <definedName name="_bdm.A4F3E199A49E4C47A01FEF6F8902F3D6.edm">#REF!</definedName>
    <definedName name="BANCOS1">#REF!</definedName>
    <definedName localSheetId="0" name="CF_Depreciation">#REF!</definedName>
    <definedName name="__x21">#REF!</definedName>
    <definedName name="BLPR920040303143540803_1_3">#REF!</definedName>
    <definedName name="WIZARD_Y3PEE">#REF!</definedName>
    <definedName name="JuneOff">#REF!</definedName>
    <definedName name="marytd">#REF!</definedName>
    <definedName name="___FCF9">#REF!</definedName>
    <definedName name="achart28">#REF!</definedName>
    <definedName name="cchart25">#REF!</definedName>
    <definedName name="CF_Dividends">#REF!</definedName>
    <definedName name="YTDLAMP">#REF!</definedName>
    <definedName localSheetId="0" name="MIL">#REF!</definedName>
    <definedName localSheetId="0" name="Print_Network_Comments">#REF!</definedName>
    <definedName name="__SUB5">#REF!</definedName>
    <definedName name="TargLTG1">#REF!</definedName>
    <definedName name="FCFa">#REF!</definedName>
    <definedName localSheetId="0" name="SW_CAD">#REF!</definedName>
    <definedName localSheetId="0" name="DFI">#REF!</definedName>
    <definedName localSheetId="0" name="PAGE_6">#REF!</definedName>
    <definedName name="RODAPE7">#REF!</definedName>
    <definedName name="_bdm.57EFA0052D0B4E61A404A1D91C5900B4.edm">#REF!</definedName>
    <definedName name="_s3">#REF!</definedName>
    <definedName name="p_Tax">#REF!</definedName>
    <definedName name="p09.Wrk_Capital_Assumptions">#REF!</definedName>
    <definedName name="DU_3">#REF!</definedName>
    <definedName name="Quest">#REF!</definedName>
    <definedName name="WIZARD_Y3Q3E">#REF!</definedName>
    <definedName name="cchart17">#REF!</definedName>
    <definedName name="so_no">#REF!</definedName>
    <definedName name="_13__123Graph_XIRR_IRR">#REF!</definedName>
    <definedName name="NewCheck">#REF!</definedName>
    <definedName localSheetId="0" name="PreTaxNomImp">#REF!</definedName>
    <definedName name="bs">#REF!</definedName>
    <definedName name="c_SSBswitch">#REF!</definedName>
    <definedName name="DCDElePer2007Q1">#REF!</definedName>
    <definedName name="_lbc5">#REF!</definedName>
    <definedName name="_bdm.DA08388848894B74B36693E4CD21F653.edm">#REF!</definedName>
    <definedName name="EndDate2">#REF!</definedName>
    <definedName name="Rev_Summary">#REF!</definedName>
    <definedName name="FX_rate">#REF!</definedName>
    <definedName name="DR">#REF!</definedName>
    <definedName name="_KeyAriane">#REF!</definedName>
    <definedName name="BLPR6920040303143549966">#REF!</definedName>
    <definedName name="BLPH37">#REF!</definedName>
    <definedName name="_lb14">#REF!</definedName>
    <definedName name="Goodwill3">#REF!</definedName>
    <definedName name="cusprd06">#REF!</definedName>
    <definedName localSheetId="0" name="__123Graph_AYTDSALES">#REF!</definedName>
    <definedName name="BLPH169">#REF!</definedName>
    <definedName name="_bdm.5D9471504BDD4A7BA33696120E9D90A0.edm">#REF!</definedName>
    <definedName name="fy_end">#REF!</definedName>
    <definedName name="DebtHide">#REF!</definedName>
    <definedName name="FDP_158_1_aUrv">#REF!</definedName>
    <definedName name="Receitas">#REF!</definedName>
    <definedName name="_bdm.52AE1FEDEC294F3597831B7C787DCDBA.edm">#REF!</definedName>
    <definedName localSheetId="0" name="Months_to_full_usage">#REF!</definedName>
    <definedName name="_dcf2">#REF!</definedName>
    <definedName name="CapexYear">#REF!</definedName>
    <definedName name="Straight_Preferred_1_3">#REF!</definedName>
    <definedName localSheetId="0" name="rAcquiror">#REF!</definedName>
    <definedName name="BLPR7320040303143549976">#REF!</definedName>
    <definedName name="__la8">#REF!</definedName>
    <definedName name="BLPR1220040303143540803_3_3">#REF!</definedName>
    <definedName name="revinc3">#REF!</definedName>
    <definedName name="Convertible_Preferred_4_5">#REF!</definedName>
    <definedName name="__aaa14">#REF!</definedName>
    <definedName name="itens">#REF!</definedName>
    <definedName localSheetId="0" name="__hys1">#REF!</definedName>
    <definedName name="_bdm.0300EE6FEB4F43A5B920DEF0C40164E8.edm">#REF!</definedName>
    <definedName name="_bdm.1B0D591A45F942499D68BB07C7855B5A.edm">#REF!</definedName>
    <definedName name="ACCDIL01f30">#REF!</definedName>
    <definedName localSheetId="0" name="PL_COGS">#REF!</definedName>
    <definedName name="FDP_75_1_aUrv">#REF!</definedName>
    <definedName name="__123Graph_EPET">#REF!</definedName>
    <definedName name="FDP_96_1_aUrv">#REF!</definedName>
    <definedName name="percent_change">#REF!</definedName>
    <definedName name="obs_SW_O">#REF!</definedName>
    <definedName name="BLPR3120040303143540853">#REF!</definedName>
    <definedName name="BLPR14920040303143550077_1_1">#REF!</definedName>
    <definedName name="_____FCF9">#REF!</definedName>
    <definedName localSheetId="0" name="TAXA">#REF!</definedName>
    <definedName name="DIV.PAGAR">#REF!</definedName>
    <definedName localSheetId="0" name="OBHEAD">#REF!</definedName>
    <definedName name="CombinadoEaling">#REF!</definedName>
    <definedName name="Title1">#REF!</definedName>
    <definedName localSheetId="0" name="PeerTickers">#REF!</definedName>
    <definedName name="lbla28">#REF!</definedName>
    <definedName name="BLPR10020040303143550017_1_1">#REF!</definedName>
    <definedName name="First_Ticker">#REF!</definedName>
    <definedName localSheetId="0" name="shareofferprice">#REF!</definedName>
    <definedName name="FDP_72_1_aUrv">#REF!</definedName>
    <definedName name="_lbc3">#REF!</definedName>
    <definedName name="DEPREC.ACUM">#REF!</definedName>
    <definedName name="Receive">#REF!</definedName>
    <definedName name="hhhh">#REF!</definedName>
    <definedName name="IpcaAcum7">#REF!</definedName>
    <definedName name="MODULE3">#REF!</definedName>
    <definedName name="_bdm.45FEE6B4CCAA44D7B699D3A6C7D13386.edm">#REF!</definedName>
    <definedName name="Sala">#REF!</definedName>
    <definedName localSheetId="0" name="CF_Amortization">#REF!</definedName>
    <definedName name="Q3_95">#REF!</definedName>
    <definedName name="r_printfunction">#REF!</definedName>
    <definedName name="_bdm.E4CF1283C9C149C692B20241539A83C9.edm">#REF!</definedName>
    <definedName name="TRAUMA_YEAR">#REF!</definedName>
    <definedName name="Customer">#REF!</definedName>
    <definedName name="_50__Special_Reserve">#REF!</definedName>
    <definedName name="MSACCDIL99">#REF!</definedName>
    <definedName name="_cfs1">#REF!</definedName>
    <definedName name="LionBDCompanyName">#REF!</definedName>
    <definedName name="PartMult">#REF!</definedName>
    <definedName name="cod_outcrednsa">#REF!</definedName>
    <definedName localSheetId="0" name="ofis_cash">#REF!</definedName>
    <definedName name="_lbc12">#REF!</definedName>
    <definedName name="pref">#REF!</definedName>
    <definedName localSheetId="0" name="Tot_UseageY2">#REF!</definedName>
    <definedName name="EXEC">#REF!</definedName>
    <definedName name="Cash1">#REF!</definedName>
    <definedName name="LBOSaleExit2">#REF!</definedName>
    <definedName name="Debt_4_2">#REF!</definedName>
    <definedName localSheetId="0" name="NATLDEBTMGM">#REF!</definedName>
    <definedName name="BLPR10320040303143550017_1_1">#REF!</definedName>
    <definedName name="Convertible_Preferred_6_5">#REF!</definedName>
    <definedName localSheetId="0" name="q397_rev">#REF!</definedName>
    <definedName name="Debt_6_3">#REF!</definedName>
    <definedName name="BLPR18020040303143550617_2_2">#REF!</definedName>
    <definedName name="TWO">#REF!</definedName>
    <definedName name="__lb25">#REF!</definedName>
    <definedName name="hjjjjjjjjjj">#REF!</definedName>
    <definedName name="Convertible_Debt_2_1">#REF!</definedName>
    <definedName name="Dolar10">#REF!</definedName>
    <definedName name="BLPH85">#REF!</definedName>
    <definedName name="BLPR19820040303143550988_1_2">#REF!</definedName>
    <definedName name="Q2_88">#REF!</definedName>
    <definedName name="Price_Worflow">#REF!</definedName>
    <definedName name="_x15">#REF!</definedName>
    <definedName name="LionKDPaidDateQ4">#REF!</definedName>
    <definedName name="BLPR3420040303143540853_1_3">#REF!</definedName>
    <definedName localSheetId="0" name="DRI">#REF!</definedName>
    <definedName name="fy_96">#REF!</definedName>
    <definedName name="LBOIPOExit2">#REF!</definedName>
    <definedName localSheetId="0" name="q198_rev">#REF!</definedName>
    <definedName name="LionKDWorksheetName">#REF!</definedName>
    <definedName name="Labor_Efficiency_Rate_One">#REF!</definedName>
    <definedName localSheetId="0" name="CREV00">#REF!</definedName>
    <definedName name="FDP_58_1_aUrv">#REF!</definedName>
    <definedName name="__lb20">#REF!</definedName>
    <definedName name="FDP_69_1_aSrv">#REF!</definedName>
    <definedName name="FDP_73_1_aDrv">#REF!</definedName>
    <definedName name="FDP_150_1_aUrv">#REF!</definedName>
    <definedName name="BLPR15820040303143550257">#REF!</definedName>
    <definedName name="_s2">#REF!</definedName>
    <definedName localSheetId="0" name="October">#REF!</definedName>
    <definedName localSheetId="0" name="Network_Comments">#REF!</definedName>
    <definedName name="__DCF7">#REF!</definedName>
    <definedName name="lbla16">#REF!</definedName>
    <definedName name="Stock3">#REF!</definedName>
    <definedName name="_2004_Revenue">#REF!</definedName>
    <definedName name="prolinks_bc207b0247724584807deb63bcc52e65">#REF!</definedName>
    <definedName name="CliMsgTotUnits">#REF!</definedName>
    <definedName name="BLPH107">#REF!</definedName>
    <definedName name="FDP_15_1_aUrv">#REF!</definedName>
    <definedName localSheetId="0" name="PL_BasicSO">#REF!</definedName>
    <definedName name="BLPR7120040303143549966">#REF!</definedName>
    <definedName name="BLPR9720040303143550007">#REF!</definedName>
    <definedName name="___hys1">#REF!</definedName>
    <definedName name="DAU">#REF!</definedName>
    <definedName name="Debt_9_3">#REF!</definedName>
    <definedName localSheetId="0" name="case">#REF!</definedName>
    <definedName name="___FCF1">#REF!</definedName>
    <definedName name="s_9">#REF!</definedName>
    <definedName name="Baseforecast">#REF!</definedName>
    <definedName name="Issue_Allocation_Inbound_Service_Call">#REF!</definedName>
    <definedName name="mincash">#REF!</definedName>
    <definedName name="_x6">#REF!</definedName>
    <definedName name="BLPR3220040303143540853">#REF!</definedName>
    <definedName localSheetId="0" name="methodology">#REF!</definedName>
    <definedName name="TRAUMABSD">#REF!</definedName>
    <definedName name="prolinks_481345a0e95949f9b4836e5ef0aac5ea">#REF!</definedName>
    <definedName name="JUNVIN">#REF!</definedName>
    <definedName name="FDP_83_1_aSrv">#REF!</definedName>
    <definedName name="trauma_lbo">#REF!</definedName>
    <definedName localSheetId="0" name="OnlineProspectsIV">#REF!</definedName>
    <definedName name="_bdm.34B56F2EFF4F45D4A3F31A1760C2C46F.edm">#REF!</definedName>
    <definedName name="PL_Equity_Earnings">#REF!</definedName>
    <definedName name="Base_DespesasEquivalencia">#REF!</definedName>
    <definedName localSheetId="0" name="NATLACTPLUS">#REF!</definedName>
    <definedName name="EMBELCR">#REF!</definedName>
    <definedName name="BLPH95">#REF!</definedName>
    <definedName name="HW_CAD">#REF!</definedName>
    <definedName name="__EPS04">#REF!</definedName>
    <definedName name="KP">#REF!</definedName>
    <definedName localSheetId="0" name="Frequence">#REF!</definedName>
    <definedName localSheetId="0" name="caselogic">#REF!</definedName>
    <definedName name="rNetDebt">#REF!</definedName>
    <definedName name="prolinks_cb50375eff484580826e966c7399e8fa">#REF!</definedName>
    <definedName name="printquery">#REF!</definedName>
    <definedName localSheetId="0" name="Cashflow_Financing">#REF!</definedName>
    <definedName name="FDP_118_1_aUrv">#REF!</definedName>
    <definedName name="AcqLTDebt">#REF!</definedName>
    <definedName name="shr_repurchase">#REF!</definedName>
    <definedName name="MULT981f">#REF!</definedName>
    <definedName name="home">#REF!</definedName>
    <definedName name="FDP_102_1_aUrv">#REF!</definedName>
    <definedName name="BLPR4320040303143540873">#REF!</definedName>
    <definedName name="STMATRIX9">#REF!</definedName>
    <definedName localSheetId="0" name="rng_Refresh">#REF!</definedName>
    <definedName name="BLPH182">#REF!</definedName>
    <definedName name="BLPH143">#REF!</definedName>
    <definedName name="Price_LienCheck2017">#REF!</definedName>
    <definedName name="FDP_135_1_aUrv">#REF!</definedName>
    <definedName name="rrrrrrr">#REF!</definedName>
    <definedName name="BLPR5620040303143542105_2_3">#REF!</definedName>
    <definedName localSheetId="0" name="LH_Dep">#REF!</definedName>
    <definedName name="Total_MtoB_Orders">#REF!</definedName>
    <definedName name="_bdm.253E6F42E34C4EA3B4E8F4F5C4159CFB.edm">#REF!</definedName>
    <definedName name="lbla15">#REF!</definedName>
    <definedName name="LionKDNetDivQ3">#REF!</definedName>
    <definedName name="LISTA_DENOMINADOR">#REF!</definedName>
    <definedName name="Cash2">#REF!</definedName>
    <definedName name="ticker">#REF!</definedName>
    <definedName localSheetId="0" name="EMBELCR">#REF!</definedName>
    <definedName localSheetId="0" name="name">#REF!</definedName>
    <definedName name="IVESDOWN">#REF!</definedName>
    <definedName localSheetId="0" name="Comments">#REF!</definedName>
    <definedName name="prolinks_898f5b04a69c45ea9693addcc455d34e">#REF!</definedName>
    <definedName name="_DCF9">#REF!</definedName>
    <definedName name="BLPR5020040303143542085">#REF!</definedName>
    <definedName name="AcqLTG2">#REF!</definedName>
    <definedName name="prolinks_7d52d789c99a423885848ad5a65f4895">#REF!</definedName>
    <definedName name="BLPR4220040303143540873_3_3">#REF!</definedName>
    <definedName name="BLPR2420040303143540833_3_3">#REF!</definedName>
    <definedName name="DEZSP">#REF!</definedName>
    <definedName name="______FCF9">#REF!</definedName>
    <definedName name="q1_97">#REF!</definedName>
    <definedName name="DISPONIVEL">#REF!</definedName>
    <definedName name="Hardware">#REF!</definedName>
    <definedName name="synch">#REF!</definedName>
    <definedName name="PREMC">#REF!</definedName>
    <definedName name="PeerTickers">#REF!</definedName>
    <definedName name="PrecedentAnalysis">#REF!</definedName>
    <definedName name="vcto1">#REF!</definedName>
    <definedName name="base">#REF!</definedName>
    <definedName name="dchart31">#REF!</definedName>
    <definedName localSheetId="0" name="DiscountYears">#REF!</definedName>
    <definedName name="_____DCF12">#REF!</definedName>
    <definedName name="PROCASH">#REF!</definedName>
    <definedName name="__SUB6">#REF!</definedName>
    <definedName name="INCENTIVO.FISCAL">#REF!</definedName>
    <definedName name="_bdm.C528431DC18D4B25943ECA6CB831FDAF.edm">#REF!</definedName>
    <definedName name="latest_Q">#REF!</definedName>
    <definedName name="BLPR9920040303143550017">#REF!</definedName>
    <definedName name="prolinks_e1a6edb01195456a94d79d5b3647edbb">#REF!</definedName>
    <definedName name="__123Graph_FMTBE">#REF!</definedName>
    <definedName name="k">#REF!</definedName>
    <definedName name="BLPR4720040303143540893_3_3">#REF!</definedName>
    <definedName localSheetId="0" name="_Table2_In2">#REF!</definedName>
    <definedName name="BLPR15120040303143550087">#REF!</definedName>
    <definedName name="IMPOS.DIF.ATIVO">#REF!</definedName>
    <definedName name="rPricePaidD2">#REF!</definedName>
    <definedName name="RODAPE8">#REF!</definedName>
    <definedName name="draft">#REF!</definedName>
    <definedName name="rEPS2002USD">#REF!</definedName>
    <definedName name="HM_1">#REF!</definedName>
    <definedName name="sens">#REF!</definedName>
    <definedName name="case1">#REF!</definedName>
    <definedName name="____hys1">#REF!</definedName>
    <definedName name="BLPR21620040303143552110">#REF!</definedName>
    <definedName name="BLPH4">#REF!</definedName>
    <definedName name="prolinks_ba80f96fd1754687851ffd7f9a8aa35a">#REF!</definedName>
    <definedName name="Q3_94">#REF!</definedName>
    <definedName name="BLPH101">#REF!</definedName>
    <definedName localSheetId="0" name="IMOBILIZADO">#REF!</definedName>
    <definedName name="acq_assum2">#REF!</definedName>
    <definedName name="FCDMA">#REF!</definedName>
    <definedName name="Schedule">#REF!</definedName>
    <definedName localSheetId="0" name="close_price_date">#REF!</definedName>
    <definedName name="_126_0__123Graph_BCHAR">#REF!</definedName>
    <definedName name="_bdm.DEA4029BF4EB48FAAAB46D8A429ABC30.edm">#REF!</definedName>
    <definedName name="_bdm.5DF0037D1BA84F48BD7FD00858E93FF4.edm">#REF!</definedName>
    <definedName name="FDP_146_1_aUrv">#REF!</definedName>
    <definedName name="_lb31">#REF!</definedName>
    <definedName localSheetId="0" name="TargLTDebt">#REF!</definedName>
    <definedName name="BLPR16020040303143550287_1_2">#REF!</definedName>
    <definedName name="WIZARD_TICKER">#REF!</definedName>
    <definedName name="EquityRatio">#REF!</definedName>
    <definedName name="DMA">#REF!</definedName>
    <definedName name="FMName">#REF!</definedName>
    <definedName name="ACT_METHOD">#REF!</definedName>
    <definedName name="FDP_120_1_aDrv">#REF!</definedName>
    <definedName localSheetId="0" name="assets">#REF!</definedName>
    <definedName name="FDP_146_1_aDrv">#REF!</definedName>
    <definedName name="Targ04NetInc3">#REF!</definedName>
    <definedName name="FDP_86_1_aSrv">#REF!</definedName>
    <definedName localSheetId="0" name="moneyprice">#REF!</definedName>
    <definedName name="CASTCASHD">#REF!</definedName>
    <definedName name="Summary_Page">#REF!</definedName>
    <definedName name="__123Graph_XSIDECO">#REF!</definedName>
    <definedName name="cchart13">#REF!</definedName>
    <definedName name="CASESUMF">#REF!</definedName>
    <definedName name="IpcaAcumAno1">#REF!</definedName>
    <definedName localSheetId="0" name="DIVPRO">#REF!</definedName>
    <definedName name="LTM">#REF!</definedName>
    <definedName name="Intro1">#REF!</definedName>
    <definedName name="prolinks_0b5bf793896940468b58335bd77e247e">#REF!</definedName>
    <definedName name="BLPR19120040303143550838">#REF!</definedName>
    <definedName name="___ANO83">#REF!</definedName>
    <definedName name="achart9">#REF!</definedName>
    <definedName name="_bdm.EDDBADB6DF474C77837580FC78710989.edm">#REF!</definedName>
    <definedName name="targetprice">#REF!</definedName>
    <definedName name="_____SUB3">#REF!</definedName>
    <definedName name="MULT982e30">#REF!</definedName>
    <definedName name="DCDPitPer2007Q2">#REF!</definedName>
    <definedName name="adasdaq">#REF!</definedName>
    <definedName name="bchart27">#REF!</definedName>
    <definedName name="Options_and_Warrants_5_4">#REF!</definedName>
    <definedName name="___REV02">#REF!</definedName>
    <definedName name="___DCF4">#REF!</definedName>
    <definedName name="wcliab2">#REF!</definedName>
    <definedName name="_PRN1">#REF!</definedName>
    <definedName name="MscoInputCell17">#REF!</definedName>
    <definedName localSheetId="0" name="Costofsales">#REF!</definedName>
    <definedName localSheetId="0" name="asset">#REF!</definedName>
    <definedName name="Targ06NetInc1">#REF!</definedName>
    <definedName name="_bdm.67DF509C190243ECB08D25906F142F00.edm">#REF!</definedName>
    <definedName name="BLPR4820040303143540893">#REF!</definedName>
    <definedName name="IpcaAcumAno12">#REF!</definedName>
    <definedName localSheetId="0" name="WIZARD_AVERAGETRADINGVOLUME">#REF!</definedName>
    <definedName name="lbla18">#REF!</definedName>
    <definedName name="BLPR5720040303143542105_2_3">#REF!</definedName>
    <definedName name="TRANSACAO">#REF!</definedName>
    <definedName localSheetId="0" name="Current">#REF!</definedName>
    <definedName name="______SUB5">#REF!</definedName>
    <definedName name="shareofferprice">#REF!</definedName>
    <definedName localSheetId="0" name="DecOff">#REF!</definedName>
    <definedName name="FDP_23_1_aDrv">#REF!</definedName>
    <definedName name="_bdm.C32CB2C414C64D778AC9CF684BB6D2E2.edm">#REF!</definedName>
    <definedName name="LionBDADRInvOpinion4">#REF!</definedName>
    <definedName name="BLPR7520040303143549976">#REF!</definedName>
    <definedName name="BLPR18220040303143550657_2_2">#REF!</definedName>
    <definedName name="IpcaAcum9">#REF!</definedName>
    <definedName name="sss">#REF!</definedName>
    <definedName name="prolinks_e14c61723b3e4a188870b4a8f122c0ef">#REF!</definedName>
    <definedName name="Mortgage_Expiring">#REF!</definedName>
    <definedName name="BLPH142">#REF!</definedName>
    <definedName name="BLPR15720040303143550237">#REF!</definedName>
    <definedName name="____rev3">#REF!</definedName>
    <definedName localSheetId="0" name="dattrans">#REF!</definedName>
    <definedName name="SET_3">#REF!</definedName>
    <definedName name="BLPR16620040303143550377_1_2">#REF!</definedName>
    <definedName name="CEPS01">#REF!</definedName>
    <definedName name="_bdm.C9FCE63A4C354204AB1BD4D4BE59AE5A.edm">#REF!</definedName>
    <definedName name="Start_year">#REF!</definedName>
    <definedName name="Weight_List">#REF!</definedName>
    <definedName name="Convertible_Preferred_5_1">#REF!</definedName>
    <definedName name="rCurrentPriceUSD">#REF!</definedName>
    <definedName name="EXIG.LIGADAS">#REF!</definedName>
    <definedName localSheetId="0" name="DU_11">#REF!</definedName>
    <definedName name="eqshare">#REF!</definedName>
    <definedName name="CF_Other_CL">#REF!</definedName>
    <definedName name="LionBDExchRateUnits">#REF!</definedName>
    <definedName name="Selic10">#REF!</definedName>
    <definedName name="Goodwill">#REF!</definedName>
    <definedName name="Price_Desktop2017">#REF!</definedName>
    <definedName name="___pg1">#REF!</definedName>
    <definedName name="NovOff">#REF!</definedName>
    <definedName name="WIZARD_Y2Q3E">#REF!</definedName>
    <definedName name="FDP_132_1_aUrv">#REF!</definedName>
    <definedName name="Sust_OutrC_23">#REF!</definedName>
    <definedName name="ACwvu.Client._.Profile.">#REF!</definedName>
    <definedName name="Queens_Penetration_Rate">#REF!</definedName>
    <definedName localSheetId="0" name="sales2">#REF!</definedName>
    <definedName localSheetId="0" name="CASHMINIMUM">#REF!</definedName>
    <definedName name="DACLFORE">#REF!</definedName>
    <definedName name="_bdm.C647F56DC92E4443B2309B949332965F.edm">#REF!</definedName>
    <definedName localSheetId="0" name="GA_Summary">#REF!</definedName>
    <definedName name="FDP_30_1_aUrv">#REF!</definedName>
    <definedName name="rEPS2005USD">#REF!</definedName>
    <definedName name="_bdm.6E6E7E57C9C3464AAD64BA9B2F8E0F04.edm">#REF!</definedName>
    <definedName name="__lb7">#REF!</definedName>
    <definedName name="BLPR3020040303143540843_3_3">#REF!</definedName>
    <definedName name="Acq04NetInc2">#REF!</definedName>
    <definedName name="LineNB">#REF!</definedName>
    <definedName name="CONS_BUY">#REF!</definedName>
    <definedName name="achart25">#REF!</definedName>
    <definedName name="_____PBT01">#REF!</definedName>
    <definedName name="Convertible_Preferred_5_5">#REF!</definedName>
    <definedName name="_bdm.C63CA0AFA9C544D4AD4493D67268FE4A.edm">#REF!</definedName>
    <definedName name="Purchase_Accounting">#REF!</definedName>
    <definedName name="MAHLER_PRICE">#REF!</definedName>
    <definedName name="trim3">#REF!</definedName>
    <definedName name="FDP_71_1_aDrv">#REF!</definedName>
    <definedName name="BLPR4420040303143540883_2_3">#REF!</definedName>
    <definedName name="PREMISSAS_2">#REF!</definedName>
    <definedName name="TES">#REF!</definedName>
    <definedName name="_bdm.E65D502C8B064BC3A6F109351BF8037E.edm">#REF!</definedName>
    <definedName name="BLPR18320040303143550678">#REF!</definedName>
    <definedName localSheetId="0" name="NSTRATMULT">#REF!</definedName>
    <definedName name="_bdm.C42FF16EE0134B5A8CBC5F1C45A064C8.edm">#REF!</definedName>
    <definedName name="annual_div">#REF!</definedName>
    <definedName name="prolinks_2fc85d1ae4f0425787b6fc503328b291">#REF!</definedName>
    <definedName name="__123Graph_CSIDECO">#REF!</definedName>
    <definedName name="cal96_eps">#REF!</definedName>
    <definedName name="CCLNF">#REF!</definedName>
    <definedName name="_23__123Graph_A_Chart_1A">#REF!</definedName>
    <definedName name="_DCF8">#REF!</definedName>
    <definedName localSheetId="0" name="CF_Minority_NI">#REF!</definedName>
    <definedName name="Manhattan_Zone3_Penetration_Rate">#REF!</definedName>
    <definedName name="rShares2004">#REF!</definedName>
    <definedName name="bchart20">#REF!</definedName>
    <definedName name="_bdm.0218DB6B50464A32A5FA5007B6FB6C54.edm">#REF!</definedName>
    <definedName name="DERMINCD">#REF!</definedName>
    <definedName name="FDP_75_1_aDrv">#REF!</definedName>
    <definedName name="_bdm.E01A1FF14B73455FA12803EFA2A20789.edm">#REF!</definedName>
    <definedName name="prolinks_3933d8c0f9654befb6817c4766b950d6">#REF!</definedName>
    <definedName name="acervo">#REF!</definedName>
    <definedName name="_bdm.1725F6FC388843938551745F897563EE.edm">#REF!</definedName>
    <definedName name="Output_O_Outr">#REF!</definedName>
    <definedName localSheetId="0" name="EALCBCR">#REF!</definedName>
    <definedName name="_1A">#REF!</definedName>
    <definedName name="Base_MarcasPatentes">#REF!</definedName>
    <definedName name="__ANO92">#REF!</definedName>
    <definedName localSheetId="0" name="ELIMINAÇÕES.INV">#REF!</definedName>
    <definedName name="BLPR10520040303143550027_1_1">#REF!</definedName>
    <definedName name="Dolar7">#REF!</definedName>
    <definedName name="SHARES01">#REF!</definedName>
    <definedName name="CASESUMB">#REF!</definedName>
    <definedName name="BLPR3320040303143540853_1_3">#REF!</definedName>
    <definedName name="BLPR920040303143540803_3_3">#REF!</definedName>
    <definedName name="BLPH135">#REF!</definedName>
    <definedName name="prolinks_0bd01fe587d14d26bd776d4a525bc86e">#REF!</definedName>
    <definedName localSheetId="0" name="ComparableAnalysis">#REF!</definedName>
    <definedName name="BLPR15120040303143550087_1_1">#REF!</definedName>
    <definedName name="VENDAS.MI">#REF!</definedName>
    <definedName name="_bdm.425BB8BA21E74083A5A7774DA22B8D7B.edm">#REF!</definedName>
    <definedName name="Diretoria">#REF!</definedName>
    <definedName name="_SUB3">#REF!</definedName>
    <definedName name="SCIA1">#REF!</definedName>
    <definedName name="prolinks_994df27b5c2f43f5b06bb2fd764f6050">#REF!</definedName>
    <definedName name="Acq05NetInc3">#REF!</definedName>
    <definedName localSheetId="0" name="Qtr_0Exp">#REF!</definedName>
    <definedName localSheetId="0" name="error">#REF!</definedName>
    <definedName name="Deferred_Charges">#REF!</definedName>
    <definedName name="PL_Income_Taxes">#REF!</definedName>
    <definedName name="_bdm.C8C2E8761EC84B28BF424E297CC589C8.edm">#REF!</definedName>
    <definedName name="_bdm.C51CDBC494A140E79721F353689FDF80.edm">#REF!</definedName>
    <definedName name="IgpmAcum6">#REF!</definedName>
    <definedName name="Other_Europe_Sales">#REF!</definedName>
    <definedName name="BLPH159">#REF!</definedName>
    <definedName name="achart3">#REF!</definedName>
    <definedName name="_TTF94">#REF!</definedName>
    <definedName name="_7__123Graph_BGROWTH_REVS_A">#REF!</definedName>
    <definedName name="__123Graph_A需要曲線">#REF!</definedName>
    <definedName name="NOVSP">#REF!</definedName>
    <definedName localSheetId="0" name="CliMsgTotDols">#REF!</definedName>
    <definedName name="Debt_1_5">#REF!</definedName>
    <definedName name="TAX_SUB_ROUTINE">#REF!</definedName>
    <definedName name="q1_99">#REF!</definedName>
    <definedName name="Active_Users">#REF!</definedName>
    <definedName name="DCDElePer2007Q3">#REF!</definedName>
    <definedName name="Price_Worflow2018">#REF!</definedName>
    <definedName name="___PBT02">#REF!</definedName>
    <definedName localSheetId="0" name="Cash_Flow">#REF!</definedName>
    <definedName name="BLPR1920040303143540823_3_3">#REF!</definedName>
    <definedName localSheetId="0" name="revinc3">#REF!</definedName>
    <definedName name="_bdm.32F08481BCF94AC88D6BA97D7E175DE5.edm">#REF!</definedName>
    <definedName name="DCDPitPer2006YY">#REF!</definedName>
    <definedName name="FDP_9_1_aUrv">#REF!</definedName>
    <definedName name="Options_and_Warrants_2_1">#REF!</definedName>
    <definedName name="ACCDIL01f40">#REF!</definedName>
    <definedName name="CF_Other_CA">#REF!</definedName>
    <definedName name="_99__123Graph_FCHART_9">#REF!</definedName>
    <definedName name="IgpMReajCTP">#REF!</definedName>
    <definedName localSheetId="0" name="CF_Straight_Preferred">#REF!</definedName>
    <definedName name="WIZARD_Y1Q4E">#REF!</definedName>
    <definedName localSheetId="0" name="pipe">#REF!</definedName>
    <definedName name="achart1">#REF!</definedName>
    <definedName name="IMP_ATTRIBUTE_INSTANCES">#REF!</definedName>
    <definedName name="Percent_Subject_to_Fee">#REF!</definedName>
    <definedName localSheetId="0" name="PREMISSAS_1">#REF!</definedName>
    <definedName name="tranche_d">#REF!</definedName>
    <definedName name="Comb.CI.Origem">#REF!</definedName>
    <definedName name="FDP_15_1_aSrv">#REF!</definedName>
    <definedName name="_ANO69">#REF!</definedName>
    <definedName localSheetId="0" name="Operating_profit">#REF!</definedName>
    <definedName localSheetId="0" name="OUTPUT">#REF!</definedName>
    <definedName localSheetId="0" name="HAWK2">#REF!</definedName>
    <definedName name="__ANO80">#REF!</definedName>
    <definedName name="FootnotePrint">#REF!</definedName>
    <definedName name="original_inv_no">#REF!</definedName>
    <definedName name="cchart31">#REF!</definedName>
    <definedName name="_bdm.6CFFCCCB388A421B8BBE3C7A42CEB39E.edm">#REF!</definedName>
    <definedName name="BS_Other_LTLiabilities">#REF!</definedName>
    <definedName name="novytd">#REF!</definedName>
    <definedName name="achart29">#REF!</definedName>
    <definedName name="Convertible_Preferred_4_4">#REF!</definedName>
    <definedName name="bases">#REF!</definedName>
    <definedName localSheetId="0" name="Swvu.Client._.Profile.">#REF!</definedName>
    <definedName localSheetId="0" name="DSU">#REF!</definedName>
    <definedName name="dattrans">#REF!</definedName>
    <definedName name="FDP_105_1_aUrv">#REF!</definedName>
    <definedName name="MULT982d40">#REF!</definedName>
    <definedName name="IVESINC">#REF!</definedName>
    <definedName name="BLPR5020040303143542085_2_3">#REF!</definedName>
    <definedName name="BUNDYDOWN">#REF!</definedName>
    <definedName name="StartRA3">#REF!</definedName>
    <definedName name="valor_outcredn">#REF!</definedName>
    <definedName name="MULT981b">#REF!</definedName>
    <definedName name="DCDElePer2009YY">#REF!</definedName>
    <definedName name="iasrun">#REF!</definedName>
    <definedName name="Debt_16_2">#REF!</definedName>
    <definedName name="FDP_163_1_aUrv">#REF!</definedName>
    <definedName localSheetId="0" name="Rs">#REF!</definedName>
    <definedName name="CREV02">#REF!</definedName>
    <definedName name="BLPR10720040303143550027">#REF!</definedName>
    <definedName name="Price_DNA2018">#REF!</definedName>
    <definedName name="Straight_Preferred_2_2">#REF!</definedName>
    <definedName name="_x13">#REF!</definedName>
    <definedName name="BLPR20020040303143551999_1_1">#REF!</definedName>
    <definedName name="Comb.CI.Aplicação">#REF!</definedName>
    <definedName name="MscoInputCell4">#REF!</definedName>
    <definedName name="Year_End_Number_of_Employees">#REF!</definedName>
    <definedName name="p_LBO_Summary">#REF!</definedName>
    <definedName localSheetId="0" name="revinc1">#REF!</definedName>
    <definedName name="Restaurant_MtoB_Sales_Percent">#REF!</definedName>
    <definedName name="BLPR16220040303143550317_2_2">#REF!</definedName>
    <definedName name="_95__123Graph_FCHART_4">#REF!</definedName>
    <definedName name="_3.1.02.01.02.01.01">#REF!</definedName>
    <definedName localSheetId="0" name="TbTipoReajustePreco">#REF!</definedName>
    <definedName name="Targ05NetInc4">#REF!</definedName>
    <definedName name="_____DCF5">#REF!</definedName>
    <definedName name="LionKDQ3Row">#REF!</definedName>
    <definedName name="BLPH43">#REF!</definedName>
    <definedName localSheetId="0" name="Pre_Tax_Profit">#REF!</definedName>
    <definedName name="FDP_118_1_dUrv">#REF!</definedName>
    <definedName name="Fiscal_1988">#REF!</definedName>
    <definedName name="prolinks_966703f6134a446e8c770c27b177eecd">#REF!</definedName>
    <definedName name="EARTADCR">#REF!</definedName>
    <definedName name="AprOn">#REF!</definedName>
    <definedName name="MscoInputCell9">#REF!</definedName>
    <definedName name="PERP">#REF!</definedName>
    <definedName name="cchart15">#REF!</definedName>
    <definedName name="prolinks_cad651cba55f442d987a1e4d8d97bf4a">#REF!</definedName>
    <definedName name="BLPR1020040303143540803_3_3">#REF!</definedName>
    <definedName name="TERM">#REF!</definedName>
    <definedName name="_aaa20">#REF!</definedName>
    <definedName name="__FCF7">#REF!</definedName>
    <definedName name="___ANO90">#REF!</definedName>
    <definedName name="Q4_87">#REF!</definedName>
    <definedName name="mgmt_div">#REF!</definedName>
    <definedName name="BLPR11720040303143550047_1_1">#REF!</definedName>
    <definedName name="BLPR20520040303143552009_1_1">#REF!</definedName>
    <definedName name="Convertible_Preferred_2_5">#REF!</definedName>
    <definedName name="fy99_rev">#REF!</definedName>
    <definedName name="BLPR12720040303143550057_1_1">#REF!</definedName>
    <definedName name="____PRN1">#REF!</definedName>
    <definedName name="_9A">#REF!</definedName>
    <definedName name="___EPS02">#REF!</definedName>
    <definedName name="fffff">#REF!</definedName>
    <definedName name="TRANS">#REF!</definedName>
    <definedName name="IpcaAcumAno4">#REF!</definedName>
    <definedName name="DCDPitVol2007Q1">#REF!</definedName>
    <definedName name="BLPR14120040303143550077">#REF!</definedName>
    <definedName name="_bdm.C78FEA792E82410AB71BCF5C629649D9.edm">#REF!</definedName>
    <definedName name="Opex_19">#REF!</definedName>
    <definedName localSheetId="0" name="DolMedioQ2">#REF!</definedName>
    <definedName name="s_19">#REF!</definedName>
    <definedName name="____cfs1">#REF!</definedName>
    <definedName name="WIZARD_Y3Q4R">#REF!</definedName>
    <definedName name="q498_rev">#REF!</definedName>
    <definedName name="_bdm.722E2405B5FD4B768782260CBA1F7894.edm">#REF!</definedName>
    <definedName name="_bdm.6FBEC8436328416C8DDC11A18BC10E91.edm">#REF!</definedName>
    <definedName localSheetId="0" name="IVESCASH">#REF!</definedName>
    <definedName name="Intangible_Assets">#REF!</definedName>
    <definedName name="__123Graph_CMTBE">#REF!</definedName>
    <definedName name="prolinks_f4a5dcee65424781a71364a9f128b9b2">#REF!</definedName>
    <definedName name="rEPS2004USD">#REF!</definedName>
    <definedName name="cal97_rev">#REF!</definedName>
    <definedName name="LionBDInvOpinion4LookUp">#REF!</definedName>
    <definedName localSheetId="0" name="PLMONTH">#REF!</definedName>
    <definedName name="_lbc1">#REF!</definedName>
    <definedName name="C.C.COLIGADAS">#REF!</definedName>
    <definedName name="__x18">#REF!</definedName>
    <definedName name="_bdm.F1D7170B8FDF465E8A1CCEFC4F4F7273.edm">#REF!</definedName>
    <definedName name="Convertible_Preferred_Converted">#REF!</definedName>
    <definedName name="Cashflow_Financing">#REF!</definedName>
    <definedName name="BLPR2020040303143540823_2_3">#REF!</definedName>
    <definedName name="___pal1">#REF!</definedName>
    <definedName name="q398_shares">#REF!</definedName>
    <definedName name="hide">#REF!</definedName>
    <definedName name="_____row2">#REF!</definedName>
    <definedName name="DF">#REF!</definedName>
    <definedName name="LionKDQ4">#REF!</definedName>
    <definedName name="FDP_10_1_aUrv">#REF!</definedName>
    <definedName name="collumn">#REF!</definedName>
    <definedName name="amort_life">#REF!</definedName>
    <definedName name="BLPR17020040303143550437_1_2">#REF!</definedName>
    <definedName name="_____DCF3">#REF!</definedName>
    <definedName name="HW">#REF!</definedName>
    <definedName name="AcqSTDebt">#REF!</definedName>
    <definedName name="o">#REF!</definedName>
    <definedName name="BLPR15320040303143550087_1_1">#REF!</definedName>
    <definedName name="BaseE1">#REF!</definedName>
    <definedName name="BLPH3">#REF!</definedName>
    <definedName name="cchart2">#REF!</definedName>
    <definedName name="BLPR19220040303143550858_1_2">#REF!</definedName>
    <definedName name="ValuationYear">#REF!</definedName>
    <definedName name="rLTMCapEx">#REF!</definedName>
    <definedName name="fy96_shares">#REF!</definedName>
    <definedName name="_PBT03">#REF!</definedName>
    <definedName name="ACCDILa">#REF!</definedName>
    <definedName name="BLPR2320040303143540833_3_3">#REF!</definedName>
    <definedName name="BLPR18720040303143550758_2_2">#REF!</definedName>
    <definedName name="Avg_Weekly_Order_Size_Existing">#REF!</definedName>
    <definedName name="SM_Summary">#REF!</definedName>
    <definedName name="____SUB5">#REF!</definedName>
    <definedName localSheetId="0" name="Extraordinary_Income">#REF!</definedName>
    <definedName name="BLPH97">#REF!</definedName>
    <definedName localSheetId="0" name="inputs">#REF!</definedName>
    <definedName name="_bdm.6F9A64CA81034FBD9BC4E17F3F166E50.edm">#REF!</definedName>
    <definedName localSheetId="0" name="__ANO69">#REF!</definedName>
    <definedName name="Copia">#REF!</definedName>
    <definedName localSheetId="0" name="PreCalcNetRes">#REF!</definedName>
    <definedName name="general">#REF!</definedName>
    <definedName name="PreTaxReal">#REF!</definedName>
    <definedName name="obs_SW_C">#REF!</definedName>
    <definedName name="BLPR7920040303143549987">#REF!</definedName>
    <definedName name="_TSU95">#REF!</definedName>
    <definedName name="BLPR2520040303143540833_3_3">#REF!</definedName>
    <definedName name="NEW_MANAGE">#REF!</definedName>
    <definedName name="BLPH167">#REF!</definedName>
    <definedName name="Buidings_District">#REF!</definedName>
    <definedName name="IgpdiAcum9">#REF!</definedName>
    <definedName name="achart26">#REF!</definedName>
    <definedName name="__le31">#REF!</definedName>
    <definedName name="quadros">#REF!</definedName>
    <definedName name="_bdm.B37DEC25C1DF45F6BEA4F8A1866C64AE.edm">#REF!</definedName>
    <definedName name="Lease_Rate">#REF!</definedName>
    <definedName name="FDP_121_1_aDrv">#REF!</definedName>
    <definedName name="_44__123Graph_CCHART_13">#REF!</definedName>
    <definedName name="FDP_110_1_aUrv">#REF!</definedName>
    <definedName name="bchart25">#REF!</definedName>
    <definedName localSheetId="0" name="_Regression_X">#REF!</definedName>
    <definedName name="FDP_27_1_aDrv">#REF!</definedName>
    <definedName name="FDP_157_1_aUrv">#REF!</definedName>
    <definedName name="DCDEleVol2006YY">#REF!</definedName>
    <definedName name="cchart10">#REF!</definedName>
    <definedName name="achart27">#REF!</definedName>
    <definedName name="_81__123Graph_ECHART_18">#REF!</definedName>
    <definedName name="CAST_SELLYEAR">#REF!</definedName>
    <definedName name="DERM_YEAR">#REF!</definedName>
    <definedName name="TargBook">#REF!</definedName>
    <definedName name="_lbc32">#REF!</definedName>
    <definedName name="prolinks_7c86a00c4e04431da0ee59023916aff0">#REF!</definedName>
    <definedName name="bv">#REF!</definedName>
    <definedName name="LionBD5YrEPSGrowth">#REF!</definedName>
    <definedName name="cov4a">#REF!</definedName>
    <definedName name="_____ANN1">#REF!</definedName>
    <definedName name="_32__123Graph_ACHART_5">#REF!</definedName>
    <definedName name="_13__123Graph_XChart_1A">#REF!</definedName>
    <definedName name="FDP_52_1_aDdv">#REF!</definedName>
    <definedName name="Debt2">#REF!</definedName>
    <definedName name="BLPH184">#REF!</definedName>
    <definedName name="_bdm.C46EB1DBA8FB470E89175EFC8298FDE0.edm">#REF!</definedName>
    <definedName name="Debt_Amortization">#REF!</definedName>
    <definedName name="bchart32">#REF!</definedName>
    <definedName name="fy_00">#REF!</definedName>
    <definedName name="Debt_7_4">#REF!</definedName>
    <definedName name="_bdm.4680C245BB8E4AEC8F946C390E3A20B5.edm">#REF!</definedName>
    <definedName name="costinc1">#REF!</definedName>
    <definedName name="_34__123Graph_B_Chart_1A">#REF!</definedName>
    <definedName name="BLPR620040303143540783_3_3">#REF!</definedName>
    <definedName name="BLPR20920040303143552009">#REF!</definedName>
    <definedName name="CASH_FLOW_ANALYSIS">#REF!</definedName>
    <definedName localSheetId="0" name="_1__123Graph_AChart_1A">#REF!</definedName>
    <definedName name="OUTRAS.REC.DESP">#REF!</definedName>
    <definedName localSheetId="0" name="AprOn">#REF!</definedName>
    <definedName name="FDP_111_1_aUrv">#REF!</definedName>
    <definedName name="obs_OutrC">#REF!</definedName>
    <definedName name="__lbc19">#REF!</definedName>
    <definedName name="IgpdiAcum5">#REF!</definedName>
    <definedName name="scenario">#REF!</definedName>
    <definedName name="EXPFORE">#REF!</definedName>
    <definedName name="BLPR13720040303143550077_1_1">#REF!</definedName>
    <definedName name="BLPR17920040303143550597_1_2">#REF!</definedName>
    <definedName name="_bdm.749E9744EEE24C43B7CD2FC5DD8ADCDF.edm">#REF!</definedName>
    <definedName name="derm_lbo">#REF!</definedName>
    <definedName name="BLPR2120040303143540823_2_3">#REF!</definedName>
    <definedName name="FINANCIAMENTOS">#REF!</definedName>
    <definedName name="ACCDIL01d30">#REF!</definedName>
    <definedName name="WIZARD_Y2Q4R">#REF!</definedName>
    <definedName name="BLPR6520040303143548114_1_2">#REF!</definedName>
    <definedName name="cchart26">#REF!</definedName>
    <definedName name="WIZARD_Y2Q1E">#REF!</definedName>
    <definedName localSheetId="0" name="HAWK1">#REF!</definedName>
    <definedName name="Schedule2">#REF!</definedName>
    <definedName name="NAMATH_PRICE">#REF!</definedName>
    <definedName name="__123Graph_DMTBE">#REF!</definedName>
    <definedName name="_bdm.B47AF851CFD348A6A469A78C60708011.edm">#REF!</definedName>
    <definedName name="_bdm.0CFBC004B6AD4FD4B5C69625BE281130.edm">#REF!</definedName>
    <definedName name="Swvu.quadro.">#REF!</definedName>
    <definedName name="RD_Allocation_Detail">#REF!</definedName>
    <definedName name="FDP_1_1_aDrv">#REF!</definedName>
    <definedName name="Convertible_Preferred_1_3">#REF!</definedName>
    <definedName name="bslamp">#REF!</definedName>
    <definedName name="BLPR21120040303143552009">#REF!</definedName>
    <definedName name="Stock4">#REF!</definedName>
    <definedName name="FinancialsPrint">#REF!</definedName>
    <definedName name="Convertible_Debt_4_2">#REF!</definedName>
    <definedName name="ff">#REF!</definedName>
    <definedName name="JOE">#REF!</definedName>
    <definedName name="Labor_Efficiency_Sales_Level_One">#REF!</definedName>
    <definedName name="_EPS02">#REF!</definedName>
    <definedName name="Shares_Issued_Debt">#REF!</definedName>
    <definedName localSheetId="0" name="dpdsrun">#REF!</definedName>
    <definedName name="IMPCASHD">#REF!</definedName>
    <definedName localSheetId="0" name="rShares2001">#REF!</definedName>
    <definedName name="right_border">#REF!</definedName>
    <definedName name="BLPH47">#REF!</definedName>
    <definedName name="YearID3">#REF!</definedName>
    <definedName localSheetId="0" name="hhh">#REF!</definedName>
    <definedName name="Rad_Dep">#REF!</definedName>
    <definedName name="BLPH110">#REF!</definedName>
    <definedName name="_bdm.A03DF8BDC601450BAB4BA5B7B203ED67.edm">#REF!</definedName>
    <definedName name="_lbc25">#REF!</definedName>
    <definedName name="_30__123Graph_ACHART_3">#REF!</definedName>
    <definedName name="prolinks_60d44fdafe074219805491ddf18950a0">#REF!</definedName>
    <definedName name="____DCF9">#REF!</definedName>
    <definedName name="BLPR13220040303143550067_1_1">#REF!</definedName>
    <definedName name="BLPR12120040303143550047_1_1">#REF!</definedName>
    <definedName name="_bdm.2f9c0663d35b473a9c8e8107b04ba3c3.edm">#REF!</definedName>
    <definedName name="Summary_00">#REF!</definedName>
    <definedName name="ACCDIL01e40">#REF!</definedName>
    <definedName name="ATIVO">#REF!</definedName>
    <definedName name="__sem1">#REF!</definedName>
    <definedName name="PREM4">#REF!</definedName>
    <definedName name="___LBO1">#REF!</definedName>
    <definedName name="BLPR4720040303143540893_1_3">#REF!</definedName>
    <definedName name="ptp">#REF!</definedName>
    <definedName name="BLPR10620040303143550027_1_1">#REF!</definedName>
    <definedName localSheetId="0" name="EMBIADCR">#REF!</definedName>
    <definedName name="BLPR16820040303143550407_2_2">#REF!</definedName>
    <definedName name="IgpdiAcum12">#REF!</definedName>
    <definedName name="objective">#REF!</definedName>
    <definedName name="_bdm.EAF5B01284C44C1C9E24FCFCFFDAD1C4.edm">#REF!</definedName>
    <definedName name="BLPR2720040303143540843">#REF!</definedName>
    <definedName localSheetId="0" name="Volatility1">#REF!</definedName>
    <definedName name="gw">#REF!</definedName>
    <definedName name="_bdm.332187433C604261874D24BDEF9F7075.edm">#REF!</definedName>
    <definedName name="__lbc9">#REF!</definedName>
    <definedName localSheetId="0" name="fx">#REF!</definedName>
    <definedName name="bchart13">#REF!</definedName>
    <definedName name="BLPH71">#REF!</definedName>
    <definedName name="Swvu.Revenue.">#REF!</definedName>
    <definedName name="BLPR6120040303143548074">#REF!</definedName>
    <definedName localSheetId="0" name="PlanoContasDespesas">#REF!</definedName>
    <definedName name="_ANO86">#REF!</definedName>
    <definedName localSheetId="0" name="_8A">#REF!</definedName>
    <definedName name="_bdm.AAED2E590989470DA8E000A4D9141322.edm">#REF!</definedName>
    <definedName name="DERM_SELL">#REF!</definedName>
    <definedName name="DollarHeader">#REF!</definedName>
    <definedName name="BLPR420040303143540783">#REF!</definedName>
    <definedName name="rCapEx10K">#REF!</definedName>
    <definedName name="BLPR10120040303143550017">#REF!</definedName>
    <definedName localSheetId="0" name="DPS__DM__Pref">#REF!</definedName>
    <definedName name="SensitivityPerf1">#REF!</definedName>
    <definedName name="invdate">#REF!</definedName>
    <definedName localSheetId="0" name="Stock1">#REF!</definedName>
    <definedName name="Debt_12_1">#REF!</definedName>
    <definedName name="__ANO90">#REF!</definedName>
    <definedName localSheetId="0" name="taxrate">#REF!</definedName>
    <definedName name="lbla22">#REF!</definedName>
    <definedName localSheetId="0" name="LastPriceDate">#REF!</definedName>
    <definedName name="MAHWC">#REF!</definedName>
    <definedName name="Convertible_Preferred_5_2">#REF!</definedName>
    <definedName name="_____PBT03">#REF!</definedName>
    <definedName name="obs_OutrO">#REF!</definedName>
    <definedName name="____ANO96">#REF!</definedName>
    <definedName name="prolinks_96200f844f3c45378295106787cc3aed">#REF!</definedName>
    <definedName localSheetId="0" name="debt_target">#REF!</definedName>
    <definedName name="Trans_Type">#REF!</definedName>
    <definedName localSheetId="0" name="_8">#REF!</definedName>
    <definedName name="FINANC.LP">#REF!</definedName>
    <definedName name="BS_CL">#REF!</definedName>
    <definedName name="Q2_95">#REF!</definedName>
    <definedName localSheetId="0" name="UsrStdPreRec">#REF!</definedName>
    <definedName name="_FCF2">#REF!</definedName>
    <definedName name="ChaveSuafiEmSuafi">#REF!</definedName>
    <definedName name="Convertible_Debt_2_2">#REF!</definedName>
    <definedName name="Stub_Year_Adjustment">#REF!</definedName>
    <definedName name="SING5">#REF!</definedName>
    <definedName name="ACCDIL00d30">#REF!</definedName>
    <definedName name="ASPT_Price">#REF!</definedName>
    <definedName localSheetId="0" name="Baddebt">#REF!</definedName>
    <definedName localSheetId="0" name="OHL">#REF!</definedName>
    <definedName name="achart24">#REF!</definedName>
    <definedName name="FDP_129_1_aUrv">#REF!</definedName>
    <definedName name="_bdm.6A84429F8EB7472BAD93702F39CF59A2.edm">#REF!</definedName>
    <definedName name="_lbc17">#REF!</definedName>
    <definedName localSheetId="0" name="PdrRegRec">#REF!</definedName>
    <definedName name="BLPH94">#REF!</definedName>
    <definedName name="WIZARD_Y2Q3R">#REF!</definedName>
    <definedName name="JUNSP">#REF!</definedName>
    <definedName name="PROD.ACAB">#REF!</definedName>
    <definedName name="_bdm.BC242BEED65E466A8C97A8F485B6D0E4.edm">#REF!</definedName>
    <definedName name="_GSRATESR_3">#REF!</definedName>
    <definedName name="______FCF1">#REF!</definedName>
    <definedName name="M">#REF!</definedName>
    <definedName localSheetId="0" name="Other">#REF!</definedName>
    <definedName name="salinc2">#REF!</definedName>
    <definedName name="prolinks_ef20b237d3174473854f269b26ca9ee5">#REF!</definedName>
    <definedName name="CF_Straight_Debt">#REF!</definedName>
    <definedName name="BLPH2">#REF!</definedName>
    <definedName localSheetId="0" name="rXRate">#REF!</definedName>
    <definedName name="BLPH155">#REF!</definedName>
    <definedName localSheetId="0" name="Tangible_Assets">#REF!</definedName>
    <definedName name="achart5">#REF!</definedName>
    <definedName name="LowPrice">#REF!</definedName>
    <definedName name="quatro">#REF!</definedName>
    <definedName name="BLPR2720040303143540843_3_3">#REF!</definedName>
    <definedName localSheetId="0" name="ccc">#REF!</definedName>
    <definedName localSheetId="0" name="PCLD">#REF!</definedName>
    <definedName name="Acq04NetInc4">#REF!</definedName>
    <definedName name="TRAUMAWCD">#REF!</definedName>
    <definedName name="_1">#REF!</definedName>
    <definedName name="FDP_119_1_aUrv">#REF!</definedName>
    <definedName name="bchart9">#REF!</definedName>
    <definedName name="__FCF3">#REF!</definedName>
    <definedName name="BLPR1020040303143540803_1_3">#REF!</definedName>
    <definedName name="_lbc31">#REF!</definedName>
    <definedName name="N_3">#REF!</definedName>
    <definedName name="Chaves">#REF!</definedName>
    <definedName name="BLPR3620040303143540863_1_3">#REF!</definedName>
    <definedName name="FDP_42_1_aUrv">#REF!</definedName>
    <definedName name="BLPR1520040303143540813_1_3">#REF!</definedName>
    <definedName name="BLPR1520040303143540813">#REF!</definedName>
    <definedName name="_9__123Graph_LBL_ACHART_3">#REF!</definedName>
    <definedName name="unitNb">#REF!</definedName>
    <definedName localSheetId="0" name="q297_rev">#REF!</definedName>
    <definedName name="ENDO_SELL">#REF!</definedName>
    <definedName name="BLPR21520040303143552080">#REF!</definedName>
    <definedName name="BLPR13020040303143550067">#REF!</definedName>
    <definedName name="mgmt_end_cash">#REF!</definedName>
    <definedName localSheetId="0" name="Indice02">#REF!</definedName>
    <definedName localSheetId="0" name="rCurrentPriceDate">#REF!</definedName>
    <definedName name="BaseYear">#REF!</definedName>
    <definedName name="OutrC_20">#REF!</definedName>
    <definedName localSheetId="0" name="mincell">#REF!</definedName>
    <definedName name="_____EPS02">#REF!</definedName>
    <definedName name="BLPR5220040303143542095_1_3">#REF!</definedName>
    <definedName name="_112_0__123Graph_BCHAR">#REF!</definedName>
    <definedName name="Sust_OutrO_23">#REF!</definedName>
    <definedName name="Itemcheck">#REF!</definedName>
    <definedName name="___DCF10">#REF!</definedName>
    <definedName name="IRR2016_Arenoso">#REF!</definedName>
    <definedName name="_lb8">#REF!</definedName>
    <definedName name="__123Graph_ECAPRO">#REF!</definedName>
    <definedName localSheetId="0" name="old_2004_revenue">#REF!</definedName>
    <definedName name="sa">#REF!</definedName>
    <definedName name="__REV01">#REF!</definedName>
    <definedName name="prolinks_d090838f306a459c8bb3ea1f691688fe">#REF!</definedName>
    <definedName name="dasrun">#REF!</definedName>
    <definedName name="rLTDebt">#REF!</definedName>
    <definedName name="CashCost">#REF!</definedName>
    <definedName localSheetId="0" name="q3_99">#REF!</definedName>
    <definedName name="PL_Convertible_Interest">#REF!</definedName>
    <definedName name="FDP_108_1_aDrv">#REF!</definedName>
    <definedName name="Address1">#REF!</definedName>
    <definedName name="FAS">#REF!</definedName>
    <definedName name="CAST_SELL">#REF!</definedName>
    <definedName name="Acq04NetInc3">#REF!</definedName>
    <definedName name="_78__123Graph_ECHART_15">#REF!</definedName>
    <definedName localSheetId="0" name="cratios">#REF!</definedName>
    <definedName name="Direct_Mail_Target_Customers">#REF!</definedName>
    <definedName name="p_LTM_IS">#REF!</definedName>
    <definedName localSheetId="0" name="VolumeCell">#REF!</definedName>
    <definedName name="bird">#REF!</definedName>
    <definedName name="BLPR21720040303143552130_1_2">#REF!</definedName>
    <definedName name="bchart22">#REF!</definedName>
    <definedName name="teste">#REF!</definedName>
    <definedName name="sales2">#REF!</definedName>
    <definedName name="NOVVIN">#REF!</definedName>
    <definedName name="Contribution">#REF!</definedName>
    <definedName name="EMBTADUF">#REF!</definedName>
    <definedName name="CF_Provisions">#REF!</definedName>
    <definedName localSheetId="0" name="PREMISSAS_2">#REF!</definedName>
    <definedName name="BLPR18420040303143550698_2_2">#REF!</definedName>
    <definedName localSheetId="0" name="YearEndDay">#REF!</definedName>
    <definedName name="CAPITAL">#REF!</definedName>
    <definedName name="_7__123Graph_DCHART_1">#REF!</definedName>
    <definedName name="OMEDBSD">#REF!</definedName>
    <definedName name="_130_0__123Graph_DCHAR">#REF!</definedName>
    <definedName name="_bdm.636C936A650043BBAA857493C20D1D06.edm">#REF!</definedName>
    <definedName name="MARYCASH">#REF!</definedName>
    <definedName name="__aaa8">#REF!</definedName>
    <definedName name="IgdiAcumAno12">#REF!</definedName>
    <definedName name="prolinks_d04fd833905d4e7aadc969647024ceba">#REF!</definedName>
    <definedName name="_FCF3">#REF!</definedName>
    <definedName name="BLPR20820040303143552009_1_1">#REF!</definedName>
    <definedName name="Hidden">#REF!</definedName>
    <definedName name="BLPR9320040303143550007">#REF!</definedName>
    <definedName name="Q4_88">#REF!</definedName>
    <definedName name="LAR">#REF!</definedName>
    <definedName name="qpl_pg1">#REF!</definedName>
    <definedName localSheetId="0" name="Dolar10">#REF!</definedName>
    <definedName name="Current">#REF!</definedName>
    <definedName name="___ANO92">#REF!</definedName>
    <definedName localSheetId="0" name="_4A">#REF!</definedName>
    <definedName name="Q3_89">#REF!</definedName>
    <definedName name="BLPR13720040303143550077">#REF!</definedName>
    <definedName name="prolinks_3b899031f7444bfa884a4946bb08bcb5">#REF!</definedName>
    <definedName name="_lbc18">#REF!</definedName>
    <definedName localSheetId="0" name="DU_1">#REF!</definedName>
    <definedName name="PREMISSAS_3">#REF!</definedName>
    <definedName name="_bdm.35326EE004654DED974DB6990962B29F.edm">#REF!</definedName>
    <definedName localSheetId="0" name="ACCTPLAC">#REF!</definedName>
    <definedName name="chave_balancete">#REF!</definedName>
    <definedName name="Private">#REF!</definedName>
    <definedName name="rEPS2003Local">#REF!</definedName>
    <definedName localSheetId="0" name="rNetDebt">#REF!</definedName>
    <definedName localSheetId="0" name="_DCF11">#REF!</definedName>
    <definedName name="FORNEC.AFILIADAS">#REF!</definedName>
    <definedName name="AcqValuation">#REF!</definedName>
    <definedName name="obs_HW_C">#REF!</definedName>
    <definedName name="NONCFORE">#REF!</definedName>
    <definedName localSheetId="0" name="SensitivityPerf1">#REF!</definedName>
    <definedName name="___DCF7">#REF!</definedName>
    <definedName name="OOO">#REF!</definedName>
    <definedName localSheetId="0" name="Empresa">#REF!</definedName>
    <definedName name="DIARIO2E">#REF!</definedName>
    <definedName name="__ANO77">#REF!</definedName>
    <definedName localSheetId="0" name="Acq_Dep">#REF!</definedName>
    <definedName name="Average_Handle_Time_Inbound_Service_Call">#REF!</definedName>
    <definedName name="__x11">#REF!</definedName>
    <definedName name="__lbc6">#REF!</definedName>
    <definedName name="rCash">#REF!</definedName>
    <definedName name="c_dateswitch">#REF!</definedName>
    <definedName name="page5">#REF!</definedName>
    <definedName name="AMORT.INV">#REF!</definedName>
    <definedName name="BLPR720040303143540783_1_3">#REF!</definedName>
    <definedName name="PlanoContasDespesas">#REF!</definedName>
    <definedName name="BLPR4920040303143542085_1_3">#REF!</definedName>
    <definedName name="_bdm.E8C31A82CBBE490A8BC89FE648D5A57D.edm">#REF!</definedName>
    <definedName name="__ANO84">#REF!</definedName>
    <definedName name="BLPR1520040303143540813_3_3">#REF!</definedName>
    <definedName name="_lbc15">#REF!</definedName>
    <definedName name="CostDebt">#REF!</definedName>
    <definedName name="BLPR16620040303143550377_2_2">#REF!</definedName>
    <definedName name="MscoInputCell15">#REF!</definedName>
    <definedName name="abrytd">#REF!</definedName>
    <definedName name="Options_and_Warrants_4_4">#REF!</definedName>
    <definedName localSheetId="0" name="CREV02">#REF!</definedName>
    <definedName name="_bdm.FC5D51E64C114CDCBDD81A3735B9A4CD.edm">#REF!</definedName>
    <definedName name="Costofsales">#REF!</definedName>
    <definedName name="ALSDQK">#REF!</definedName>
    <definedName localSheetId="0" name="Stock3">#REF!</definedName>
    <definedName name="_x24">#REF!</definedName>
    <definedName name="lbla1">#REF!</definedName>
    <definedName name="prolinks_dd26b695d7454b6b83ad6b55ac4b2df3">#REF!</definedName>
    <definedName name="Q2_92">#REF!</definedName>
    <definedName name="_lf31">#REF!</definedName>
    <definedName name="Pre_Tax__Profit">#REF!</definedName>
    <definedName name="cal98_eps">#REF!</definedName>
    <definedName name="___ANO69">#REF!</definedName>
    <definedName localSheetId="0" name="acq">#REF!</definedName>
    <definedName name="prolinks_d7f789ecea3e4068a881a19108bd6d90">#REF!</definedName>
    <definedName name="_lb13">#REF!</definedName>
    <definedName name="FebOn">#REF!</definedName>
    <definedName name="out">#REF!</definedName>
    <definedName name="p_LBO_BS_Adj">#REF!</definedName>
    <definedName name="achart21">#REF!</definedName>
    <definedName localSheetId="0" name="Current_Fiscal_Year">#REF!</definedName>
    <definedName name="_bdm.5958F9B170394BE4A0013AFEFB111098.edm">#REF!</definedName>
    <definedName name="_____REV02">#REF!</definedName>
    <definedName name="fc">#REF!</definedName>
    <definedName localSheetId="0" name="Operations">#REF!</definedName>
    <definedName localSheetId="0" name="PIKTERM">#REF!</definedName>
    <definedName name="SELL_INS">#REF!</definedName>
    <definedName name="BLPR19420040303143550898_2_2">#REF!</definedName>
    <definedName name="Existing_Customer_Retention_Rate">#REF!</definedName>
    <definedName name="BLPH160">#REF!</definedName>
    <definedName name="_bdm.A123ED8994514618972CD2183C482A15.edm">#REF!</definedName>
    <definedName name="MULT982b40">#REF!</definedName>
    <definedName name="_bdm.CD6517E42E024D5D8EED4ECF36E82780.edm">#REF!</definedName>
    <definedName name="___row1">#REF!</definedName>
    <definedName name="DESP.VENDAS">#REF!</definedName>
    <definedName name="_x10">#REF!</definedName>
    <definedName name="endo_lbo">#REF!</definedName>
    <definedName localSheetId="0" name="Matrix">#REF!</definedName>
    <definedName name="Shares_Issued_Option">#REF!</definedName>
    <definedName name="q2_97">#REF!</definedName>
    <definedName name="PL_Loss_Debt">#REF!</definedName>
    <definedName name="___ANO93">#REF!</definedName>
    <definedName name="___DCF9">#REF!</definedName>
    <definedName name="Debt_11_1">#REF!</definedName>
    <definedName name="_bdm.44392CD45B7949A6B83CA376A1BB947C.edm">#REF!</definedName>
    <definedName name="NATLOTHERNC">#REF!</definedName>
    <definedName name="_bdm.7FCDCE45268A45649C45B3315166B94E.edm">#REF!</definedName>
    <definedName name="VALORES_ACUM_3">#REF!</definedName>
    <definedName localSheetId="0" name="_bdm.28C02D7711374862930ECD66CD0B2C33.edm">#REF!</definedName>
    <definedName name="div1_name">#REF!</definedName>
    <definedName name="Qtr_1">#REF!</definedName>
    <definedName name="__x10">#REF!</definedName>
    <definedName name="BLPR3820040303143540863_2_3">#REF!</definedName>
    <definedName name="prolinks_801668a0d1534e54a624d749b1a7e4e6">#REF!</definedName>
    <definedName name="Price_Portal">#REF!</definedName>
    <definedName name="ACCDIL00f40">#REF!</definedName>
    <definedName name="StartPBS">#REF!</definedName>
    <definedName name="February">#REF!</definedName>
    <definedName name="BLPR8520040303143549987">#REF!</definedName>
    <definedName name="Debt_17_3">#REF!</definedName>
    <definedName name="_bdm.98981C304D214BBD928CBD2A36CA2836.edm">#REF!</definedName>
    <definedName name="Convertible_Preferred_2_2">#REF!</definedName>
    <definedName name="cal96_rev">#REF!</definedName>
    <definedName name="_bdm.D7917BEFCBC44B6AA5011EB7405EB462.edm">#REF!</definedName>
    <definedName name="IgpMReajCTPexc1">#REF!</definedName>
    <definedName name="__ANO86">#REF!</definedName>
    <definedName name="BLPR16720040303143550397_2_2">#REF!</definedName>
    <definedName localSheetId="0" name="CAIXA">#REF!</definedName>
    <definedName name="BLPR1420040303143540813">#REF!</definedName>
    <definedName localSheetId="0" name="Goodwill2">#REF!</definedName>
    <definedName localSheetId="0" name="swan">#REF!</definedName>
    <definedName localSheetId="0" name="old_1">#REF!</definedName>
    <definedName localSheetId="0" name="FX_rate">#REF!</definedName>
    <definedName name="cod_arrevsa">#REF!</definedName>
    <definedName name="______FCF4">#REF!</definedName>
    <definedName name="BLPR7020040303143549966">#REF!</definedName>
    <definedName name="WOUNDCASHD">#REF!</definedName>
    <definedName localSheetId="0" name="MAISP">#REF!</definedName>
    <definedName name="_7">#REF!</definedName>
    <definedName localSheetId="0" name="Total_MtoB_Orders">#REF!</definedName>
    <definedName name="_bdm.BA1CB1017E4C4C8396AD1BAAAFC8B4ED.edm">#REF!</definedName>
    <definedName name="_86__123Graph_ECHART_9">#REF!</definedName>
    <definedName name="___ANO89">#REF!</definedName>
    <definedName name="Debt_16_4">#REF!</definedName>
    <definedName name="DecOff">#REF!</definedName>
    <definedName name="CF_Deferred_Taxes">#REF!</definedName>
    <definedName name="___rev2">#REF!</definedName>
    <definedName name="q299_shares">#REF!</definedName>
    <definedName name="_bdm.F4D27409E0EF40A5AABEF08A660B1B5F.edm">#REF!</definedName>
    <definedName name="ACCTPLAC">#REF!</definedName>
    <definedName name="Options_and_Warrants_1_1">#REF!</definedName>
    <definedName name="delumn">#REF!</definedName>
    <definedName name="BLPR19620040303143550948_2_2">#REF!</definedName>
    <definedName name="BLPR10220040303143550017">#REF!</definedName>
    <definedName name="OutrC_19">#REF!</definedName>
    <definedName name="cchart22">#REF!</definedName>
    <definedName name="Debt_11_2">#REF!</definedName>
    <definedName name="_85__123Graph_ECHART_8">#REF!</definedName>
    <definedName name="_54__123Graph_CCHART_8">#REF!</definedName>
    <definedName name="IMOBILIZADO">#REF!</definedName>
    <definedName name="cchart3">#REF!</definedName>
    <definedName name="postal3">#REF!</definedName>
    <definedName name="Comb.CI.Passivo">#REF!</definedName>
    <definedName name="Aktuellt">#REF!</definedName>
    <definedName name="__ANO89">#REF!</definedName>
    <definedName name="FDP_21_1_aUrv">#REF!</definedName>
    <definedName name="BLPR520040303143540783_1_3">#REF!</definedName>
    <definedName name="CLMSBUD">#REF!</definedName>
    <definedName name="_sem1">#REF!</definedName>
    <definedName name="jjjjjjjjjj">#REF!</definedName>
    <definedName name="Convertible_Preferred_1_2">#REF!</definedName>
    <definedName name="_ANO80">#REF!</definedName>
    <definedName name="REALIZAVEL">#REF!</definedName>
    <definedName name="__ANO73">#REF!</definedName>
    <definedName name="_ANO88">#REF!</definedName>
    <definedName name="BLPR2720040303143540843_1_3">#REF!</definedName>
    <definedName name="teste1">#REF!</definedName>
    <definedName name="BLPR5420040303143542095_2_3">#REF!</definedName>
    <definedName name="BOY">#REF!</definedName>
    <definedName localSheetId="0" name="percent_change">#REF!</definedName>
    <definedName name="Regulatório">#REF!</definedName>
    <definedName name="DEZVIN">#REF!</definedName>
    <definedName name="fx">#REF!</definedName>
    <definedName name="DataRef">#REF!</definedName>
    <definedName name="rEPS2001USD">#REF!</definedName>
    <definedName name="_aaa5">#REF!</definedName>
    <definedName name="_ANO68">#REF!</definedName>
    <definedName name="Convertible_Debt_5_2">#REF!</definedName>
    <definedName name="__lbc3">#REF!</definedName>
    <definedName name="_bdm.1696EA2C3EB94AB29D5E3829CEC50DE5.edm">#REF!</definedName>
    <definedName name="DU_1">#REF!</definedName>
    <definedName name="q3_98">#REF!</definedName>
    <definedName name="Manhattan_Zone4_Penetration_Rate">#REF!</definedName>
    <definedName name="_bdm.3452E30BD0C747AA9B455AEC8138A8CF.edm">#REF!</definedName>
    <definedName name="CORECREDIT">#REF!</definedName>
    <definedName name="_____FCF6">#REF!</definedName>
    <definedName name="November">#REF!</definedName>
    <definedName name="Net_Worth_Share__DM">#REF!</definedName>
    <definedName name="LBO20a">#REF!</definedName>
    <definedName name="BLPR1820040303143540823_2_3">#REF!</definedName>
    <definedName localSheetId="0" name="COR_Summary">#REF!</definedName>
    <definedName name="FDP_6_1_aDrv">#REF!</definedName>
    <definedName name="rPricePaidF2">#REF!</definedName>
    <definedName localSheetId="0" name="midyear">#REF!</definedName>
    <definedName name="FDP_97_1_aUrv">#REF!</definedName>
    <definedName name="LionKDPaidDateQ3">#REF!</definedName>
    <definedName name="_bdm.4C6F9DA169754A069B4FE29892460BE9.edm">#REF!</definedName>
    <definedName name="RECEITA">#REF!</definedName>
    <definedName name="DIN">#REF!</definedName>
    <definedName name="base1">#REF!</definedName>
    <definedName name="___PRN2">#REF!</definedName>
    <definedName name="Shares_Issued_Preferred">#REF!</definedName>
    <definedName localSheetId="0" name="calendar">#REF!</definedName>
    <definedName name="_lb27">#REF!</definedName>
    <definedName name="LBOMinCash">#REF!</definedName>
    <definedName name="gwamort">#REF!</definedName>
    <definedName name="_GSRATESR_1">#REF!</definedName>
    <definedName name="cchart8">#REF!</definedName>
    <definedName name="BLPH175">#REF!</definedName>
    <definedName localSheetId="0" name="FMName">#REF!</definedName>
    <definedName name="Convertible_Preferred_2_1">#REF!</definedName>
    <definedName localSheetId="0" name="Rtitle">#REF!</definedName>
    <definedName name="FDP_48_1_aUrv">#REF!</definedName>
    <definedName name="BLPR12020040303143550047_1_1">#REF!</definedName>
    <definedName name="lbla27">#REF!</definedName>
    <definedName name="cov2a">#REF!</definedName>
    <definedName name="FDP_77_1_aDrv">#REF!</definedName>
    <definedName name="_13">#REF!</definedName>
    <definedName name="Swvu.Page4.">#REF!</definedName>
    <definedName localSheetId="0" name="MEDIA">#REF!</definedName>
    <definedName localSheetId="0" name="DELHEAD">#REF!</definedName>
    <definedName name="prolinks_a4c83ff690664b32bf209be6bc637605">#REF!</definedName>
    <definedName localSheetId="0" name="print">#REF!</definedName>
    <definedName name="Debt_14_4">#REF!</definedName>
    <definedName name="FDP_46_1_aUrv">#REF!</definedName>
    <definedName name="BLPR8420040303143549987">#REF!</definedName>
    <definedName name="Selic6">#REF!</definedName>
    <definedName name="prolinks_46069d9508a14b4aaad5ba78c0825f9d">#REF!</definedName>
    <definedName name="targ_op_case">#REF!</definedName>
    <definedName name="Print_Buttons">#REF!</definedName>
    <definedName name="ABRACADABRA">#REF!</definedName>
    <definedName name="BUNDYINC">#REF!</definedName>
    <definedName name="Straight_Preferred_3_4">#REF!</definedName>
    <definedName name="OPINBUD">#REF!</definedName>
    <definedName name="_____SUB6">#REF!</definedName>
    <definedName name="Fluxo11">#REF!</definedName>
    <definedName name="Options_and_Warrants_4_3">#REF!</definedName>
    <definedName name="FDP_28_1_aDrv">#REF!</definedName>
    <definedName name="__FCF8">#REF!</definedName>
    <definedName name="Year_End_Net_Cash____Debt">#REF!</definedName>
    <definedName name="Price_Portal2015">#REF!</definedName>
    <definedName name="page4">#REF!</definedName>
    <definedName name="______sem2">#REF!</definedName>
    <definedName localSheetId="0" name="casestats3">#REF!</definedName>
    <definedName name="_76__123Graph_ECHART_13">#REF!</definedName>
    <definedName name="_40__123Graph_C_Chart_1A">#REF!</definedName>
    <definedName name="_bdm.1E5D74734785486E8BF9425EF384319B.edm">#REF!</definedName>
    <definedName name="TargLTG2">#REF!</definedName>
    <definedName name="FDP_139_1_aUrv">#REF!</definedName>
    <definedName name="BLPH5">#REF!</definedName>
    <definedName name="Debt_15_5">#REF!</definedName>
    <definedName localSheetId="0" name="fratios">#REF!</definedName>
    <definedName name="FDP_162_1_aUrv">#REF!</definedName>
    <definedName name="methodology">#REF!</definedName>
    <definedName name="MscoInputCell12">#REF!</definedName>
    <definedName localSheetId="0" name="StdPreRec">#REF!</definedName>
    <definedName name="BLPR520040303143540783">#REF!</definedName>
    <definedName localSheetId="0" name="AsOfDate">#REF!</definedName>
    <definedName localSheetId="0" name="GA_Price">#REF!</definedName>
    <definedName name="MAHCASH">#REF!</definedName>
    <definedName name="Debt_6_2">#REF!</definedName>
    <definedName name="BLPR19220040303143550858">#REF!</definedName>
    <definedName name="BLPR11520040303143550037_1_1">#REF!</definedName>
    <definedName localSheetId="0" name="row_special">#REF!</definedName>
    <definedName localSheetId="0" name="DIARIO1E">#REF!</definedName>
    <definedName localSheetId="0" name="preferred">#REF!</definedName>
    <definedName localSheetId="0" name="yr_ago_rev">#REF!</definedName>
    <definedName name="BLPR10020040303143550017">#REF!</definedName>
    <definedName name="IRR_2016_Preço_Argiloso">#REF!</definedName>
    <definedName localSheetId="0" name="LTM">#REF!</definedName>
    <definedName name="WOUND_YEAR">#REF!</definedName>
    <definedName name="rMonth">#REF!</definedName>
    <definedName name="FDP_7_1_aUdv">#REF!</definedName>
    <definedName name="Food_Dollars_Per_Household">#REF!</definedName>
    <definedName name="_Table2_In2">#REF!</definedName>
    <definedName name="input1">#REF!</definedName>
    <definedName name="_____hys1">#REF!</definedName>
    <definedName name="Debt_5_2">#REF!</definedName>
    <definedName name="ofis_debt">#REF!</definedName>
    <definedName name="prolinks_a7b69f08438345aea5924c914e65b0a7">#REF!</definedName>
    <definedName name="Labor_Efficiency_Sales_Level_Two">#REF!</definedName>
    <definedName name="BLPH12">#REF!</definedName>
    <definedName name="_ANO96">#REF!</definedName>
    <definedName name="FDP_106_1_dUrv">#REF!</definedName>
    <definedName localSheetId="0" name="S_F">#REF!</definedName>
    <definedName name="HIST">#REF!</definedName>
    <definedName name="__lb3">#REF!</definedName>
    <definedName localSheetId="0" name="NATLASSOCFEE">#REF!</definedName>
    <definedName name="Revenue_per_Client">#REF!</definedName>
    <definedName name="DACRFORE">#REF!</definedName>
    <definedName name="BLPH105">#REF!</definedName>
    <definedName name="_lb29">#REF!</definedName>
    <definedName name="__ANO72">#REF!</definedName>
    <definedName name="Goodwill5">#REF!</definedName>
    <definedName name="WIZARD_EARNINGS">#REF!</definedName>
    <definedName name="DC">#REF!</definedName>
    <definedName name="_bdm.EDAA0EBCAC284E788343F71E18A8EC71.edm">#REF!</definedName>
    <definedName name="BLPR7520040303143549976_1_1">#REF!</definedName>
    <definedName name="BLPR3120040303143540853_3_3">#REF!</definedName>
    <definedName name="ENDO_YEAR">#REF!</definedName>
    <definedName name="debt_target">#REF!</definedName>
    <definedName localSheetId="0" name="row">#REF!</definedName>
    <definedName name="ACCDILf">#REF!</definedName>
    <definedName name="FirstDate">#REF!</definedName>
    <definedName name="BLPR5120040303143542095_1_3">#REF!</definedName>
    <definedName name="Price_LienCheck2018">#REF!</definedName>
    <definedName localSheetId="0" name="LionADRStkId">#REF!</definedName>
    <definedName name="EndDate4">#REF!</definedName>
    <definedName name="Options_and_Warrants_5_3">#REF!</definedName>
    <definedName name="CASTGSD">#REF!</definedName>
    <definedName name="codn_sa">#REF!</definedName>
    <definedName name="_x18">#REF!</definedName>
    <definedName name="prolinks_b421e0e13fac4b90ab3b0ab48fa71696">#REF!</definedName>
    <definedName name="__123Graph_DEVAC">#REF!</definedName>
    <definedName name="FDP_132_1_aUdv">#REF!</definedName>
    <definedName name="_lbc24">#REF!</definedName>
    <definedName name="s_16">#REF!</definedName>
    <definedName name="FDP_80_1_aSrv">#REF!</definedName>
    <definedName name="Title2">#REF!</definedName>
    <definedName name="_27__123Graph_ACHART_20">#REF!</definedName>
    <definedName name="MscoInputCell10">#REF!</definedName>
    <definedName name="BLPR820040303143540793_2_3">#REF!</definedName>
    <definedName name="__DCF8">#REF!</definedName>
    <definedName name="DU_5">#REF!</definedName>
    <definedName name="IgpmAcumAno5">#REF!</definedName>
    <definedName name="_lbc27">#REF!</definedName>
    <definedName localSheetId="0" name="CCCCCCCCCC">#REF!</definedName>
    <definedName name="prolinks_45d22c8fdeb545f1b0619bdbcfee8194">#REF!</definedName>
    <definedName name="SensitivityPerf3">#REF!</definedName>
    <definedName localSheetId="0" name="INCREMENT">#REF!</definedName>
    <definedName name="projName">#REF!</definedName>
    <definedName name="______cab1">#REF!</definedName>
    <definedName name="_bdm.95B79F7FC2414E00B1DD2839223E1A22.edm">#REF!</definedName>
    <definedName name="Debt_16_1">#REF!</definedName>
    <definedName name="U">#REF!</definedName>
    <definedName name="Price_Worflow2017">#REF!</definedName>
    <definedName localSheetId="0" name="Mary_Trans">#REF!</definedName>
    <definedName name="Hourly_Customer_Service_Rate_OAK">#REF!</definedName>
    <definedName name="prolinks_2195d44f38c5482da417ea103a1271ed">#REF!</definedName>
    <definedName name="Debt_12_3">#REF!</definedName>
    <definedName name="____dcf2">#REF!</definedName>
    <definedName name="BLPR1820040303143540823_1_3">#REF!</definedName>
    <definedName name="ADTV_POINT">#REF!</definedName>
    <definedName name="VALORES_ACUM_2">#REF!</definedName>
    <definedName name="vvvv">#REF!</definedName>
    <definedName name="BLPR8020040303143549987">#REF!</definedName>
    <definedName name="FDP_29_1_aDrv">#REF!</definedName>
    <definedName name="_bdm.6C19386E94C44202B8BE1C4B3DA81960.edm">#REF!</definedName>
    <definedName name="VertPos">#REF!</definedName>
    <definedName name="FDP_17_1_aUrv">#REF!</definedName>
    <definedName name="Faturamento">#REF!</definedName>
    <definedName name="__sbs1">#REF!</definedName>
    <definedName name="BLPR12420040303143550057">#REF!</definedName>
    <definedName name="Billboard_Revenues">#REF!</definedName>
    <definedName localSheetId="0" name="currency">#REF!</definedName>
    <definedName name="_bdm.E25BF672C2E64CC0A63C533D88647C65.edm">#REF!</definedName>
    <definedName name="Debt1">#REF!</definedName>
    <definedName name="Price_Portal2017">#REF!</definedName>
    <definedName name="_la6">#REF!</definedName>
    <definedName name="PATHNAME">#REF!</definedName>
    <definedName localSheetId="0" name="BOY">#REF!</definedName>
    <definedName name="DPN">#REF!</definedName>
    <definedName name="_bdm.FBF983D235A3410E8C33EE6666754B1A.edm">#REF!</definedName>
    <definedName name="WIZARD_Y1Q3E">#REF!</definedName>
    <definedName localSheetId="0" name="Ratioswitch">#REF!</definedName>
    <definedName localSheetId="0" name="ASSOC">#REF!</definedName>
    <definedName name="q497_rev">#REF!</definedName>
    <definedName name="SW">#REF!</definedName>
    <definedName name="_67__123Graph_DCHART_4">#REF!</definedName>
    <definedName name="Tipos_de_Irrigação">#REF!</definedName>
    <definedName name="cons_lbo">#REF!</definedName>
    <definedName name="Options_and_Warrants_3_1">#REF!</definedName>
    <definedName name="marg2">#REF!</definedName>
    <definedName localSheetId="0" name="DO">#REF!</definedName>
    <definedName name="ofis">#REF!</definedName>
    <definedName name="BLPR6520040303143548114_2_2">#REF!</definedName>
    <definedName name="_bdm.F45A87637BAF4F30825CFA0849A5B158.edm">#REF!</definedName>
    <definedName name="__aaa6">#REF!</definedName>
    <definedName name="WIZARD_Y2Q4E">#REF!</definedName>
    <definedName name="_DCF12">#REF!</definedName>
    <definedName name="WIZARD_Y1R">#REF!</definedName>
    <definedName name="LBO20d">#REF!</definedName>
    <definedName name="BLPR12420040303143550057_1_1">#REF!</definedName>
    <definedName name="LionKDPaidDateQ1">#REF!</definedName>
    <definedName name="cod_arren">#REF!</definedName>
    <definedName name="EquityBeta">#REF!</definedName>
    <definedName name="FDP_74_1_aDrv">#REF!</definedName>
    <definedName name="rPricePaidE2">#REF!</definedName>
    <definedName name="PPA_Client">#REF!</definedName>
    <definedName name="Options_and_Warrants_6_2">#REF!</definedName>
    <definedName name="BLPR5920040303143548074">#REF!</definedName>
    <definedName name="IncrementCell">#REF!</definedName>
    <definedName name="____pal1">#REF!</definedName>
    <definedName name="Price_Analytics2016">#REF!</definedName>
    <definedName name="Targ04NetInc1">#REF!</definedName>
    <definedName name="CompRange2Main">#REF!</definedName>
    <definedName name="BLPR3020040303143540843_1_3">#REF!</definedName>
    <definedName name="prim_invt">#REF!</definedName>
    <definedName name="BLPR2920040303143540843_3_3">#REF!</definedName>
    <definedName name="fy98_ni">#REF!</definedName>
    <definedName name="rename">#REF!</definedName>
    <definedName localSheetId="0" name="__ANO68">#REF!</definedName>
    <definedName name="PFTITANWC">#REF!</definedName>
    <definedName localSheetId="0" name="rFYEMonth">#REF!</definedName>
    <definedName name="StartPIS">#REF!</definedName>
    <definedName name="BLPR12720040303143550057">#REF!</definedName>
    <definedName name="__ANO91">#REF!</definedName>
    <definedName name="Convertible_Preferred_6_4">#REF!</definedName>
    <definedName name="PROADJUST">#REF!</definedName>
    <definedName name="APL.FIN">#REF!</definedName>
    <definedName name="__lbc27">#REF!</definedName>
    <definedName localSheetId="0" name="Title1">#REF!</definedName>
    <definedName name="Convertible_Preferred_1_4">#REF!</definedName>
    <definedName name="Debt_12_5">#REF!</definedName>
    <definedName name="BLPR620040303143540783_1_3">#REF!</definedName>
    <definedName name="p_Depr4">#REF!</definedName>
    <definedName localSheetId="0" name="Stub_Year_Adjustment">#REF!</definedName>
    <definedName name="ofis_ltdebt">#REF!</definedName>
    <definedName name="cchart20">#REF!</definedName>
    <definedName name="FDP_133_1_aUrv">#REF!</definedName>
    <definedName name="BLPR19920040303143551999">#REF!</definedName>
    <definedName name="_25__123Graph_ACHART_19">#REF!</definedName>
    <definedName name="_bdm.92F6D6A2ECD54BBA8010FE68B0FBE91D.edm">#REF!</definedName>
    <definedName localSheetId="0" name="Debt1">#REF!</definedName>
    <definedName name="Selic3">#REF!</definedName>
    <definedName name="ACCDIL00f30">#REF!</definedName>
    <definedName name="XRATE_SWITCH">#REF!</definedName>
    <definedName name="name">#REF!</definedName>
    <definedName name="BLPR4420040303143540883_3_3">#REF!</definedName>
    <definedName name="case2">#REF!</definedName>
    <definedName name="_bdm.22BA8A02C5D54E4998F522876BD11ACE.edm">#REF!</definedName>
    <definedName name="Manhattan_Zone8_Penetration_Rate">#REF!</definedName>
    <definedName localSheetId="0" name="NONCBUD">#REF!</definedName>
    <definedName name="DELPHOS">#REF!</definedName>
    <definedName name="BLPR19420040303143550898_1_2">#REF!</definedName>
    <definedName localSheetId="0" name="MARYBS">#REF!</definedName>
    <definedName localSheetId="0" name="page2">#REF!</definedName>
    <definedName name="_lb20">#REF!</definedName>
    <definedName name="HighGrowth">#REF!</definedName>
    <definedName name="BLPR22120040303143552230_2_2">#REF!</definedName>
    <definedName name="_bdm.BC288BB9D7564E468BD4C5877A894639.edm">#REF!</definedName>
    <definedName name="Balanços">#REF!</definedName>
    <definedName name="______ANN1">#REF!</definedName>
    <definedName name="IMP_BUY">#REF!</definedName>
    <definedName localSheetId="0" name="PROV.GARANTIA">#REF!</definedName>
    <definedName name="Comments">#REF!</definedName>
    <definedName name="_bdm.D04C46DE5B3246EAAF951F587F4E6A4A.edm">#REF!</definedName>
    <definedName name="SCENARIOS">#REF!</definedName>
    <definedName name="ACCDIL99c">#REF!</definedName>
    <definedName name="WIZARD_Y3CAPREVR">#REF!</definedName>
    <definedName name="rEPS2005Local">#REF!</definedName>
    <definedName name="_aaa17">#REF!</definedName>
    <definedName name="BLPH73">#REF!</definedName>
    <definedName localSheetId="0" name="Rev_Summary">#REF!</definedName>
    <definedName name="DESP.ANTEC">#REF!</definedName>
    <definedName name="BLPH103">#REF!</definedName>
    <definedName localSheetId="0" name="CliBlkPre">#REF!</definedName>
    <definedName name="repurchase_cash">#REF!</definedName>
    <definedName name="_bdm.F3E0A2EF224E4C0EB42DD926D389D99D.edm">#REF!</definedName>
    <definedName localSheetId="0" name="summary">#REF!</definedName>
    <definedName name="VR">#REF!</definedName>
    <definedName localSheetId="0" name="Year_End_Number_of_Employees">#REF!</definedName>
    <definedName localSheetId="0" name="r_printfunction">#REF!</definedName>
    <definedName localSheetId="0" name="Shares_Issued_Option">#REF!</definedName>
    <definedName name="BLPR9720040303143550007_1_1">#REF!</definedName>
    <definedName name="FDP_7_1_aDrv">#REF!</definedName>
    <definedName name="_lbc11">#REF!</definedName>
    <definedName name="__x13">#REF!</definedName>
    <definedName name="Cost_of_Sales">#REF!</definedName>
    <definedName name="Hourly_Customer_Service_Rate_LIC">#REF!</definedName>
    <definedName name="_71__123Graph_DCHART_9">#REF!</definedName>
    <definedName name="Share_Desktop_Appraisal">#REF!</definedName>
    <definedName name="BLPR1320040303143540813_2_3">#REF!</definedName>
    <definedName name="IgpmAcum8">#REF!</definedName>
    <definedName name="rAvgStrikePriceLocal">#REF!</definedName>
    <definedName name="___ANO72">#REF!</definedName>
    <definedName name="FDP_134_1_aDrv">#REF!</definedName>
    <definedName name="AGOSP">#REF!</definedName>
    <definedName name="CASESUM3">#REF!</definedName>
    <definedName name="_____PBT02">#REF!</definedName>
    <definedName name="Price_Desktop2015">#REF!</definedName>
    <definedName name="echart31">#REF!</definedName>
    <definedName name="FDP_97_1_aSrv">#REF!</definedName>
    <definedName name="BLPR5420040303143542095_3_3">#REF!</definedName>
    <definedName localSheetId="0" name="Q1_86">#REF!</definedName>
    <definedName localSheetId="0" name="_0">#REF!</definedName>
    <definedName name="FDP_50_1_aUrv">#REF!</definedName>
    <definedName name="_bdm.7B9E02E8FEC94D7C8D63BB8BD8A7F337.edm">#REF!</definedName>
    <definedName localSheetId="0" name="CASESTATS2">#REF!</definedName>
    <definedName name="_EPS04">#REF!</definedName>
    <definedName name="__DCF6">#REF!</definedName>
    <definedName name="DRBP">#REF!</definedName>
    <definedName name="_lb9">#REF!</definedName>
    <definedName name="p_Premium">#REF!</definedName>
    <definedName name="BLPH61">#REF!</definedName>
    <definedName name="LionBDExchRate">#REF!</definedName>
    <definedName name="Swvu.PLANILHA2.">#REF!</definedName>
    <definedName name="CASESUME">#REF!</definedName>
    <definedName name="CF_AP">#REF!</definedName>
    <definedName name="BLPR2920040303143540843_2_3">#REF!</definedName>
    <definedName localSheetId="0" name="targetprice">#REF!</definedName>
    <definedName name="WIZARD_Y3YEARR">#REF!</definedName>
    <definedName name="BLPR21020040303143552009_1_1">#REF!</definedName>
    <definedName name="_ANO95">#REF!</definedName>
    <definedName name="_100__123Graph_X_Chart_1A">#REF!</definedName>
    <definedName localSheetId="0" name="CONSUMER">#REF!</definedName>
    <definedName name="Sust_OutrO_20">#REF!</definedName>
    <definedName name="BLPH145">#REF!</definedName>
    <definedName name="M_3">#REF!</definedName>
    <definedName name="prolinks_941fb45931bb4cf4bd80df125ea9e6ea">#REF!</definedName>
    <definedName name="obs_MoeC">#REF!</definedName>
    <definedName name="ago">#REF!</definedName>
    <definedName name="FDP_60_1_aUrv">#REF!</definedName>
    <definedName name="TTF93A">#REF!</definedName>
    <definedName name="BLPR14620040303143550077_1_1">#REF!</definedName>
    <definedName name="p_SharesOutstanding">#REF!</definedName>
    <definedName name="INV.COLIGADAS">#REF!</definedName>
    <definedName localSheetId="0" name="pay">#REF!</definedName>
    <definedName name="BLPR14120040303143550077_1_1">#REF!</definedName>
    <definedName name="LionKDPaidDateQ2">#REF!</definedName>
    <definedName name="Straight_Preferred_3_1">#REF!</definedName>
    <definedName name="GW_YEARS">#REF!</definedName>
    <definedName name="MENSAL4">#REF!</definedName>
    <definedName name="STMATRIX6">#REF!</definedName>
    <definedName name="_bdm.F04BB84776C5450F85730BD760D1C9C8.edm">#REF!</definedName>
    <definedName name="IpcaAcum3">#REF!</definedName>
    <definedName name="DERM_SELLYEAR">#REF!</definedName>
    <definedName name="_bdm.02A24F18DB554AF2B97674AB98980075.edm">#REF!</definedName>
    <definedName name="BLPH112">#REF!</definedName>
    <definedName name="__rev4">#REF!</definedName>
    <definedName name="IMP_SELLYEAR">#REF!</definedName>
    <definedName name="_____FCF5">#REF!</definedName>
    <definedName name="BLPR8720040303143549997">#REF!</definedName>
    <definedName name="__EPS02">#REF!</definedName>
    <definedName name="BLPH86">#REF!</definedName>
    <definedName name="targ_latest_K">#REF!</definedName>
    <definedName name="_bdm.E1B6F6D5AD844DD18208B04A162D5090.edm">#REF!</definedName>
    <definedName name="_bdm.FC7849EAEB3348F380C96F0E86C3B7A3.edm">#REF!</definedName>
    <definedName name="_80__123Graph_ECHART_17">#REF!</definedName>
    <definedName name="BLPR2520040303143540833_2_3">#REF!</definedName>
    <definedName localSheetId="0" name="projName">#REF!</definedName>
    <definedName name="_bdm.2F402615B5E44949A7178B1DE851D318.edm">#REF!</definedName>
    <definedName name="__lb24">#REF!</definedName>
    <definedName name="Debt_8_4">#REF!</definedName>
    <definedName name="DRCL">#REF!</definedName>
    <definedName name="TargLTG3">#REF!</definedName>
    <definedName name="_bdm.fadacadf0aa8415581905006883c8ee7.edm">#REF!</definedName>
    <definedName name="SAREV1">#REF!</definedName>
    <definedName name="Indice01">#REF!</definedName>
    <definedName name="CREV00">#REF!</definedName>
    <definedName name="___DCF12">#REF!</definedName>
    <definedName name="_dcf1">#REF!</definedName>
    <definedName name="PostTaxNomImp">#REF!</definedName>
    <definedName name="_bdm.E5658B68588E46B58A43D16673B5E655.edm">#REF!</definedName>
    <definedName name="Convertible_Debt_2_3">#REF!</definedName>
    <definedName name="Bb.com">#REF!</definedName>
    <definedName name="achart7">#REF!</definedName>
    <definedName name="IgpdiAcum1">#REF!</definedName>
    <definedName localSheetId="0" name="_bdm.A5552BD11C13456FA16FFB39ECAAF9ED.edm">#REF!</definedName>
    <definedName name="secondary">#REF!</definedName>
    <definedName name="cchart4">#REF!</definedName>
    <definedName name="WIZARD_Y1Q2R">#REF!</definedName>
    <definedName name="media_invoice_no">#REF!</definedName>
    <definedName name="valorpdd_sa">#REF!</definedName>
    <definedName name="_69__123Graph_DCHART_7">#REF!</definedName>
    <definedName localSheetId="0" name="ModelHdr">#REF!</definedName>
    <definedName name="PerfModel">#REF!</definedName>
    <definedName name="PRODOWN">#REF!</definedName>
    <definedName name="MODULE">#REF!</definedName>
    <definedName name="rGrossInterest10K">#REF!</definedName>
    <definedName name="Districts_mapped">#REF!</definedName>
    <definedName name="highyieldspread">#REF!</definedName>
    <definedName name="Efinfl">#REF!</definedName>
    <definedName name="FDP_67_1_aSrv">#REF!</definedName>
    <definedName name="jan">#REF!</definedName>
    <definedName localSheetId="0" name="INV.COLIGADAS">#REF!</definedName>
    <definedName name="BLPR5220040303143542095_2_3">#REF!</definedName>
    <definedName name="___DCF8">#REF!</definedName>
    <definedName name="rEPS2003USD">#REF!</definedName>
    <definedName name="_bdm.FCD40190CB3C482EA57B37CE30B97BFC.edm">#REF!</definedName>
    <definedName name="DCDElePer2008Q1">#REF!</definedName>
    <definedName name="BLPR16820040303143550407_1_2">#REF!</definedName>
    <definedName name="preferred">#REF!</definedName>
  </definedNames>
  <calcPr/>
</workbook>
</file>

<file path=xl/sharedStrings.xml><?xml version="1.0" encoding="utf-8"?>
<sst xmlns="http://schemas.openxmlformats.org/spreadsheetml/2006/main" count="261" uniqueCount="141">
  <si>
    <r>
      <rPr>
        <rFont val="Aptos Narrow"/>
        <b/>
        <color theme="0"/>
        <sz val="11.0"/>
      </rPr>
      <t>Receitas</t>
    </r>
    <r>
      <rPr>
        <rFont val="Aptos Narrow"/>
        <color theme="0"/>
        <sz val="11.0"/>
      </rPr>
      <t xml:space="preserve">
</t>
    </r>
    <r>
      <rPr>
        <rFont val="Aptos Narrow"/>
        <i/>
        <color theme="0"/>
        <sz val="10.0"/>
      </rPr>
      <t>(R$ milhares)</t>
    </r>
  </si>
  <si>
    <t>1T23</t>
  </si>
  <si>
    <t>2T23</t>
  </si>
  <si>
    <t>3T23</t>
  </si>
  <si>
    <t>4T23</t>
  </si>
  <si>
    <t>1T24</t>
  </si>
  <si>
    <t>2T24</t>
  </si>
  <si>
    <t>3T24</t>
  </si>
  <si>
    <t>4T24</t>
  </si>
  <si>
    <t>1T25</t>
  </si>
  <si>
    <t>2T25</t>
  </si>
  <si>
    <t>3T25</t>
  </si>
  <si>
    <t>4T25</t>
  </si>
  <si>
    <t>1T26</t>
  </si>
  <si>
    <t>Análise vertical</t>
  </si>
  <si>
    <t>Análise horizontal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</si>
  <si>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</si>
  <si>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</si>
  <si>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</si>
  <si>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</si>
  <si>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</si>
  <si>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</si>
  <si>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</si>
  <si>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</si>
  <si>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</si>
  <si>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</si>
  <si>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</si>
  <si>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</si>
  <si>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1Q26</t>
  </si>
  <si>
    <t>21/20</t>
  </si>
  <si>
    <t>22/21</t>
  </si>
  <si>
    <t>23/22</t>
  </si>
  <si>
    <t>24/23</t>
  </si>
  <si>
    <t>25/24</t>
  </si>
  <si>
    <t>Receita total</t>
  </si>
  <si>
    <t>Mercados</t>
  </si>
  <si>
    <t xml:space="preserve">  -Derivativos</t>
  </si>
  <si>
    <t xml:space="preserve">   -Renda Variável</t>
  </si>
  <si>
    <t xml:space="preserve">   -Renda Fixa e Crédito</t>
  </si>
  <si>
    <t xml:space="preserve">   Empréstimo de Ativos</t>
  </si>
  <si>
    <t>Soluções para Mercado de Capitais</t>
  </si>
  <si>
    <t xml:space="preserve">   Dados para Mercado de Capitais</t>
  </si>
  <si>
    <t xml:space="preserve">   Depositária para Mercado à Vista</t>
  </si>
  <si>
    <t xml:space="preserve">   Listagem e Soluções para Emissores</t>
  </si>
  <si>
    <t>Soluções Analíticas de Dados</t>
  </si>
  <si>
    <t xml:space="preserve">   Veículos e Imobiliário</t>
  </si>
  <si>
    <t>Plataformas e Dados Analíticos</t>
  </si>
  <si>
    <t>Tecnologia e Plataformas</t>
  </si>
  <si>
    <t>Tecnologia</t>
  </si>
  <si>
    <t>Serviços de Apoio ao Mercado</t>
  </si>
  <si>
    <t>Outros</t>
  </si>
  <si>
    <t>Reversão de provisões e recuperação de despesas</t>
  </si>
  <si>
    <t>Deduções da receita</t>
  </si>
  <si>
    <t>PIS e Cofins</t>
  </si>
  <si>
    <t>Impostos sobre serviços</t>
  </si>
  <si>
    <t>Receita líquida</t>
  </si>
  <si>
    <t xml:space="preserve">Despesas </t>
  </si>
  <si>
    <t>Pessoal e encargos</t>
  </si>
  <si>
    <t>Tecnologia da informação</t>
  </si>
  <si>
    <t>Depreciação e amortização</t>
  </si>
  <si>
    <t>Atrelada ao faturamento</t>
  </si>
  <si>
    <t>Serviços de terceiros</t>
  </si>
  <si>
    <t>Manutenção em geral</t>
  </si>
  <si>
    <t>Comunicações</t>
  </si>
  <si>
    <t>Promoção e divulgação</t>
  </si>
  <si>
    <t>Impostos e taxas</t>
  </si>
  <si>
    <t>Honorários do conselho/comitês</t>
  </si>
  <si>
    <t>Relacionadas à combinação com a Cetip</t>
  </si>
  <si>
    <t>Diversas</t>
  </si>
  <si>
    <t>Resultado operacional</t>
  </si>
  <si>
    <t>Margem operacional</t>
  </si>
  <si>
    <t>Redução ao valor recuperável de ativos (impairment)</t>
  </si>
  <si>
    <t>Resultado de equivalência patrimonial</t>
  </si>
  <si>
    <t>Descontinuidade do método de equivalência patrimonial</t>
  </si>
  <si>
    <t>Resultado de alienação de investimentos em coligadas</t>
  </si>
  <si>
    <t>Resultado financeiro</t>
  </si>
  <si>
    <t>Receitas financeiras</t>
  </si>
  <si>
    <t>Despesas financeiras</t>
  </si>
  <si>
    <t>Alienação das ações do CME Group</t>
  </si>
  <si>
    <t>Variações cambiais líquidas</t>
  </si>
  <si>
    <t>Resultado antes da tributação sobre o lucro</t>
  </si>
  <si>
    <t>Imposto de renda e contribuição social</t>
  </si>
  <si>
    <t>Corrente</t>
  </si>
  <si>
    <t>Diferido</t>
  </si>
  <si>
    <t>Resultado líquido das operações continuadas</t>
  </si>
  <si>
    <t>Resultado líquido das operações descontinuadas</t>
  </si>
  <si>
    <t>Lucro (prejuízo) líquido do período</t>
  </si>
  <si>
    <t>Margem líquida</t>
  </si>
  <si>
    <t>Atribuídos aos:</t>
  </si>
  <si>
    <t>Acionistas</t>
  </si>
  <si>
    <t>Participação dos não-controladores</t>
  </si>
  <si>
    <t>Ajustes no EBITDA</t>
  </si>
  <si>
    <t>EBITDA</t>
  </si>
  <si>
    <t>Despesas relacionadas à combinação com a Cetip</t>
  </si>
  <si>
    <t>Alteração de programa/metodologia de incentivo de longo prazo</t>
  </si>
  <si>
    <t>Outros efeitos não-recorrentes</t>
  </si>
  <si>
    <t>Reversão de provisões e outros créditos não recorrentes (receitas)</t>
  </si>
  <si>
    <t>Reversão de provisões (despesas)</t>
  </si>
  <si>
    <t>Recuperação de despesas</t>
  </si>
  <si>
    <t>Despesas com projeto de ganho de eficiência</t>
  </si>
  <si>
    <t>Outras receitas não recorrentes</t>
  </si>
  <si>
    <t>Outras despesas não recorrentes</t>
  </si>
  <si>
    <t>Baixa de projetos</t>
  </si>
  <si>
    <t>Despesas com M&amp;A</t>
  </si>
  <si>
    <t>Despesas extraordinárias rescisão contratual</t>
  </si>
  <si>
    <t>EBITDA recorrente</t>
  </si>
  <si>
    <t>Margem EBITDA recorrente</t>
  </si>
  <si>
    <t>Ajustes nas Despesas</t>
  </si>
  <si>
    <t>Despesas</t>
  </si>
  <si>
    <t>Programa de incentivo de longo prazo baseado em ações</t>
  </si>
  <si>
    <t>Provisões (recorrentes e não-recorrentes)</t>
  </si>
  <si>
    <t>Imposto relacionado aos dividendos recebidos do CME Group</t>
  </si>
  <si>
    <t>Despesas atreladas ao faturamento</t>
  </si>
  <si>
    <t>Despesas extraordinária com M&amp;A</t>
  </si>
  <si>
    <t>Outras despesas extraordinárias</t>
  </si>
  <si>
    <t>Despesas ajustadas</t>
  </si>
  <si>
    <t>Ajustes no lucro líquido de imposto</t>
  </si>
  <si>
    <t>Lucro líquido (atribuídos aos acionistas)</t>
  </si>
  <si>
    <t>Provisões não-recorrentes</t>
  </si>
  <si>
    <t>Recuperação de despesas não-recorrentes</t>
  </si>
  <si>
    <t>Redução ao valor recuperável de ativos</t>
  </si>
  <si>
    <t>Impactos Fiscais</t>
  </si>
  <si>
    <t>Impactos relacionados ao CME Group</t>
  </si>
  <si>
    <t>Amortização de intangível (inclui combinação com Cetip)</t>
  </si>
  <si>
    <t>Amortização de intangível (combinação com GRV)</t>
  </si>
  <si>
    <t>Outras receitas/créditos não recorrentes</t>
  </si>
  <si>
    <t>Refinanciamento de impostos (REFIS/PERT)</t>
  </si>
  <si>
    <t>Atualização do saldo de imposto diferido</t>
  </si>
  <si>
    <t>Benefício fiscal de juros sobre o capital próprio extraordinário</t>
  </si>
  <si>
    <t xml:space="preserve">Lucro líquido recorrente </t>
  </si>
  <si>
    <t>Imposto diferido (ágio da combinação Bovespa)</t>
  </si>
  <si>
    <t>Imposto diferido (ágio da combinação GRV)</t>
  </si>
  <si>
    <t>Imposto diferido (ágio da combinação Cetip)</t>
  </si>
  <si>
    <t>Imposto diferido (ágio da combinação Neoway e Neurotech)</t>
  </si>
  <si>
    <t>Lucro líquido recorrente ajustado pelo benefício fiscal do ágio</t>
  </si>
  <si>
    <t xml:space="preserve">Efeito do hedge no resultado </t>
  </si>
  <si>
    <t>(+/-) Efeitos do hedge sobre resultado financeiro</t>
  </si>
  <si>
    <t>Resultado financeiro ajustado (Excluindo efeitos do hedge)</t>
  </si>
  <si>
    <t>Resultado antes da tributação sobre o lucro ajustado (Excluindo efeitos do hedge) - (A)</t>
  </si>
  <si>
    <t>(+/-) Efeitos do hedge sobre imposto de renda e contribuição social</t>
  </si>
  <si>
    <t>Imposto de renda e contribuição social ajustado (Excluindo efeitos do hedge) - (B)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</si>
</sst>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* #,##0_-;\-* #,##0_-;_-* &quot;-&quot;??_-;_-@"/>
    <numFmt numFmtId="165" formatCode="0.0%"/>
    <numFmt numFmtId="166" formatCode="_(* #,##0_);_(* \(#,##0\);_(* &quot;-&quot;??_);_(@_)"/>
    <numFmt numFmtId="167" formatCode="0.000%"/>
  </numFmts>
  <fonts count="1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0"/>
      <name val="Aptos Narrow"/>
    </font>
    <font>
      <b/>
      <sz val="11.0"/>
      <color theme="0"/>
      <name val="Aptos Narrow"/>
    </font>
    <font>
      <b/>
      <sz val="11.0"/>
      <color rgb="FFFFFFFF"/>
      <name val="Arial"/>
    </font>
    <font/>
    <font>
      <b/>
      <sz val="11.0"/>
      <color theme="1"/>
      <name val="Arial"/>
    </font>
    <font>
      <b/>
      <sz val="11.0"/>
      <color theme="1"/>
      <name val="Aptos Narrow"/>
    </font>
    <font>
      <sz val="11.0"/>
      <color theme="1"/>
      <name val="Arial"/>
    </font>
    <font>
      <sz val="11.0"/>
      <color theme="1"/>
      <name val="Aptos Narrow"/>
    </font>
    <font>
      <b/>
      <sz val="11.0"/>
      <color theme="1"/>
      <name val="Calibri"/>
    </font>
    <font>
      <sz val="11.0"/>
      <color theme="1"/>
      <name val="Calibri"/>
    </font>
    <font>
      <i/>
      <sz val="11.0"/>
      <color theme="1"/>
      <name val="Aptos Narrow"/>
    </font>
    <font>
      <i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E8E8E8"/>
        <bgColor rgb="FFE8E8E8"/>
      </patternFill>
    </fill>
  </fills>
  <borders count="7">
    <border/>
    <border>
      <left/>
      <right/>
      <top/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ill="1" applyFont="1">
      <alignment horizontal="center" vertical="center"/>
    </xf>
    <xf borderId="2" fillId="2" fontId="3" numFmtId="0" xfId="0" applyAlignment="1" applyBorder="1" applyFill="1" applyFont="1">
      <alignment horizontal="center" shrinkToFit="0" vertical="center" wrapText="1"/>
    </xf>
    <xf borderId="3" fillId="2" fontId="4" numFmtId="0" xfId="0" applyAlignment="1" applyBorder="1" applyFill="1" applyFont="1">
      <alignment horizontal="center" readingOrder="0" vertical="center"/>
    </xf>
    <xf borderId="4" fillId="0" fontId="5" numFmtId="0" xfId="0" applyBorder="1" applyFont="1"/>
    <xf borderId="5" fillId="0" fontId="5" numFmtId="0" xfId="0" applyBorder="1" applyFont="1"/>
    <xf borderId="2" fillId="0" fontId="3" numFmtId="0" xfId="0" applyAlignment="1" applyBorder="1" applyFont="1">
      <alignment horizontal="center" vertical="center"/>
    </xf>
    <xf borderId="0" fillId="2" fontId="4" numFmtId="0" xfId="0" applyAlignment="1" applyFill="1" applyFont="1">
      <alignment horizontal="center" readingOrder="0" shrinkToFit="0" vertical="center" wrapText="0"/>
    </xf>
    <xf borderId="6" fillId="0" fontId="5" numFmtId="0" xfId="0" applyBorder="1" applyFont="1"/>
    <xf borderId="2" fillId="2" fontId="4" numFmtId="0" xfId="0" applyAlignment="1" applyBorder="1" applyFill="1" applyFont="1">
      <alignment horizontal="center" readingOrder="0" vertical="center"/>
    </xf>
    <xf borderId="0" fillId="2" fontId="4" numFmtId="0" xfId="0" applyAlignment="1" applyFill="1" applyFont="1">
      <alignment horizontal="center" readingOrder="0" vertical="center"/>
    </xf>
    <xf borderId="0" fillId="0" fontId="6" numFmtId="0" xfId="0" applyAlignment="1" applyFont="1">
      <alignment horizontal="left" readingOrder="0" vertical="center"/>
    </xf>
    <xf borderId="2" fillId="3" fontId="7" numFmtId="164" xfId="0" applyAlignment="1" applyBorder="1" applyFill="1" applyFont="1" applyNumberFormat="1">
      <alignment vertical="center"/>
    </xf>
    <xf borderId="0" fillId="0" fontId="7" numFmtId="164" xfId="0" applyAlignment="1" applyFont="1" applyNumberFormat="1">
      <alignment vertical="center"/>
    </xf>
    <xf borderId="0" fillId="0" fontId="1" numFmtId="165" xfId="0" applyAlignment="1" applyFont="1" applyNumberFormat="1">
      <alignment vertical="center"/>
    </xf>
    <xf borderId="0" fillId="0" fontId="1" numFmtId="0" xfId="0" applyAlignment="1" applyFont="1">
      <alignment readingOrder="0" shrinkToFit="0" vertical="center" wrapText="1"/>
    </xf>
    <xf borderId="0" fillId="0" fontId="7" numFmtId="0" xfId="0" applyAlignment="1" applyFont="1">
      <alignment horizontal="left" vertical="center"/>
    </xf>
    <xf borderId="0" fillId="0" fontId="8" numFmtId="0" xfId="0" applyAlignment="1" applyFont="1">
      <alignment horizontal="left" readingOrder="0" vertical="center"/>
    </xf>
    <xf borderId="2" fillId="3" fontId="9" numFmtId="164" xfId="0" applyAlignment="1" applyBorder="1" applyFill="1" applyFont="1" applyNumberFormat="1">
      <alignment vertical="center"/>
    </xf>
    <xf borderId="0" fillId="0" fontId="9" numFmtId="164" xfId="0" applyAlignment="1" applyFont="1" applyNumberFormat="1">
      <alignment vertical="center"/>
    </xf>
    <xf borderId="0" fillId="0" fontId="1" numFmtId="165" xfId="0" applyAlignment="1" applyFont="1" applyNumberFormat="1">
      <alignment shrinkToFit="0" vertical="center" wrapText="1"/>
    </xf>
    <xf borderId="2" fillId="3" fontId="8" numFmtId="164" xfId="0" applyAlignment="1" applyBorder="1" applyFill="1" applyFont="1" applyNumberFormat="1">
      <alignment readingOrder="0" vertical="center"/>
    </xf>
    <xf borderId="0" fillId="0" fontId="9" numFmtId="0" xfId="0" applyAlignment="1" applyFont="1">
      <alignment horizontal="left" vertical="center"/>
    </xf>
    <xf borderId="0" fillId="0" fontId="7" numFmtId="0" xfId="0" applyAlignment="1" applyFont="1">
      <alignment vertical="center"/>
    </xf>
    <xf borderId="0" fillId="0" fontId="10" numFmtId="166" xfId="0" applyAlignment="1" applyFont="1" applyNumberFormat="1">
      <alignment vertical="center"/>
    </xf>
    <xf borderId="2" fillId="3" fontId="10" numFmtId="166" xfId="0" applyAlignment="1" applyBorder="1" applyFill="1" applyFont="1" applyNumberFormat="1">
      <alignment vertical="center"/>
    </xf>
    <xf borderId="2" fillId="3" fontId="11" numFmtId="166" xfId="0" applyAlignment="1" applyBorder="1" applyFill="1" applyFont="1" applyNumberFormat="1">
      <alignment vertical="center"/>
    </xf>
    <xf borderId="0" fillId="0" fontId="11" numFmtId="166" xfId="0" applyAlignment="1" applyFont="1" applyNumberFormat="1">
      <alignment vertical="center"/>
    </xf>
    <xf borderId="0" fillId="0" fontId="10" numFmtId="37" xfId="0" applyAlignment="1" applyFont="1" applyNumberFormat="1">
      <alignment vertical="center"/>
    </xf>
    <xf borderId="0" fillId="0" fontId="9" numFmtId="165" xfId="0" applyAlignment="1" applyFont="1" applyNumberFormat="1">
      <alignment vertical="center"/>
    </xf>
    <xf borderId="0" fillId="0" fontId="9" numFmtId="165" xfId="0" applyAlignment="1" applyFont="1" applyNumberFormat="1">
      <alignment vertical="center"/>
    </xf>
    <xf borderId="0" fillId="0" fontId="12" numFmtId="0" xfId="0" applyAlignment="1" applyFont="1">
      <alignment horizontal="left" vertical="center"/>
    </xf>
    <xf borderId="2" fillId="3" fontId="13" numFmtId="165" xfId="0" applyAlignment="1" applyBorder="1" applyFill="1" applyFont="1" applyNumberFormat="1">
      <alignment vertical="center"/>
    </xf>
    <xf borderId="0" fillId="0" fontId="13" numFmtId="165" xfId="0" applyAlignment="1" applyFont="1" applyNumberFormat="1">
      <alignment vertical="center"/>
    </xf>
    <xf borderId="0" fillId="0" fontId="1" numFmtId="165" xfId="0" applyAlignment="1" applyFont="1" applyNumberFormat="1">
      <alignment vertical="center"/>
    </xf>
    <xf borderId="2" fillId="3" fontId="11" numFmtId="165" xfId="0" applyAlignment="1" applyBorder="1" applyFill="1" applyFont="1" applyNumberFormat="1">
      <alignment vertical="center"/>
    </xf>
    <xf borderId="0" fillId="0" fontId="11" numFmtId="165" xfId="0" applyAlignment="1" applyFont="1" applyNumberFormat="1">
      <alignment vertical="center"/>
    </xf>
    <xf borderId="1" fillId="2" fontId="3" numFmtId="0" xfId="0" applyAlignment="1" applyBorder="1" applyFill="1" applyFont="1">
      <alignment horizontal="center" vertical="center"/>
    </xf>
    <xf borderId="0" fillId="0" fontId="9" numFmtId="3" xfId="0" applyAlignment="1" applyFont="1" applyNumberFormat="1">
      <alignment vertical="center"/>
    </xf>
    <xf borderId="0" fillId="0" fontId="9" numFmtId="165" xfId="0" applyAlignment="1" applyFont="1" applyNumberFormat="1">
      <alignment shrinkToFit="0" vertical="center" wrapText="1"/>
    </xf>
    <xf borderId="0" fillId="0" fontId="9" numFmtId="167" xfId="0" applyAlignment="1" applyFont="1" applyNumberFormat="1">
      <alignment vertical="center"/>
    </xf>
    <xf borderId="0" fillId="0" fontId="9" numFmtId="166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 outlineLevelCol="1" outlineLevelRow="1"/>
  <cols>
    <col customWidth="1" min="1" max="1" width="37.5"/>
    <col customWidth="1" min="2" max="2" width="10.38"/>
    <col customWidth="1" min="3" max="3" width="11.38"/>
    <col customWidth="1" min="4" max="4" width="11.25"/>
    <col customWidth="1" hidden="1" min="5" max="8" width="11.5" outlineLevel="1"/>
    <col collapsed="1" customWidth="1" min="9" max="9" width="10.38"/>
    <col customWidth="1" hidden="1" min="10" max="13" width="11.5" outlineLevel="1"/>
    <col collapsed="1" customWidth="1" min="14" max="14" width="11.38"/>
    <col customWidth="1" hidden="1" min="15" max="18" width="11.5" outlineLevel="1"/>
    <col collapsed="1" customWidth="1" min="19" max="19" width="11.25"/>
    <col customWidth="1" min="20" max="20" width="10.38"/>
    <col customWidth="1" min="21" max="21" width="8.63"/>
    <col customWidth="1" min="22" max="22" width="14.5"/>
    <col customWidth="1" min="23" max="27" width="7.25"/>
    <col customWidth="1" min="28" max="28" width="8.63"/>
    <col customWidth="1" min="29" max="29" width="16.75"/>
    <col customWidth="1" min="30" max="30" width="8.88"/>
    <col customWidth="1" min="31" max="32" width="7.88"/>
    <col customWidth="1" min="33" max="33" width="8.88"/>
    <col customWidth="1" min="34" max="34" width="8.63"/>
    <col customWidth="1" min="35" max="35" width="62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>
      <c r="A2" s="2" t="s">
        <v>0</v>
      </c>
      <c r="B2" s="3">
        <v>2020.0</v>
      </c>
      <c r="C2" s="3">
        <v>2021.0</v>
      </c>
      <c r="D2" s="3">
        <v>2022.0</v>
      </c>
      <c r="E2" s="4" t="s">
        <v>1</v>
      </c>
      <c r="F2" s="4" t="s">
        <v>2</v>
      </c>
      <c r="G2" s="4" t="s">
        <v>3</v>
      </c>
      <c r="H2" s="4" t="s">
        <v>4</v>
      </c>
      <c r="I2" s="4">
        <v>2023.0</v>
      </c>
      <c r="J2" s="4" t="s">
        <v>5</v>
      </c>
      <c r="K2" s="4" t="s">
        <v>6</v>
      </c>
      <c r="L2" s="4" t="s">
        <v>7</v>
      </c>
      <c r="M2" s="4" t="s">
        <v>8</v>
      </c>
      <c r="N2" s="4">
        <v>2024.0</v>
      </c>
      <c r="O2" s="4" t="s">
        <v>9</v>
      </c>
      <c r="P2" s="4" t="s">
        <v>10</v>
      </c>
      <c r="Q2" s="4" t="s">
        <v>11</v>
      </c>
      <c r="R2" s="4" t="s">
        <v>12</v>
      </c>
      <c r="S2" s="4">
        <v>2025.0</v>
      </c>
      <c r="T2" s="4" t="s">
        <v>13</v>
      </c>
      <c r="U2" s="1"/>
      <c r="V2" s="5" t="s">
        <v>14</v>
      </c>
      <c r="W2" s="6"/>
      <c r="X2" s="6"/>
      <c r="Y2" s="6"/>
      <c r="Z2" s="6"/>
      <c r="AA2" s="7"/>
      <c r="AB2" s="8"/>
      <c r="AC2" s="5" t="s">
        <v>15</v>
      </c>
      <c r="AD2" s="6"/>
      <c r="AE2" s="6"/>
      <c r="AF2" s="6"/>
      <c r="AG2" s="6"/>
      <c r="AH2" s="7"/>
      <c r="AI2" s="9"/>
    </row>
    <row r="3">
      <c r="A3" s="10"/>
      <c r="B3" s="3">
        <v>2020.0</v>
      </c>
      <c r="C3" s="3">
        <v>2021.0</v>
      </c>
      <c r="D3" s="3">
        <v>2022.0</v>
      </c>
      <c r="E3" s="4" t="s">
        <v>16</v>
      </c>
      <c r="F3" s="4" t="s">
        <v>17</v>
      </c>
      <c r="G3" s="4" t="s">
        <v>18</v>
      </c>
      <c r="H3" s="4" t="s">
        <v>19</v>
      </c>
      <c r="I3" s="4">
        <v>2023.0</v>
      </c>
      <c r="J3" s="4" t="s">
        <v>20</v>
      </c>
      <c r="K3" s="4" t="s">
        <v>21</v>
      </c>
      <c r="L3" s="4" t="s">
        <v>22</v>
      </c>
      <c r="M3" s="4" t="s">
        <v>23</v>
      </c>
      <c r="N3" s="4">
        <v>2024.0</v>
      </c>
      <c r="O3" s="4" t="s">
        <v>24</v>
      </c>
      <c r="P3" s="4" t="s">
        <v>25</v>
      </c>
      <c r="Q3" s="4" t="s">
        <v>26</v>
      </c>
      <c r="R3" s="4" t="s">
        <v>27</v>
      </c>
      <c r="S3" s="4">
        <v>2025.0</v>
      </c>
      <c r="T3" s="4" t="s">
        <v>28</v>
      </c>
      <c r="U3" s="1"/>
      <c r="V3" s="11">
        <v>2020.0</v>
      </c>
      <c r="W3" s="11">
        <v>2021.0</v>
      </c>
      <c r="X3" s="11">
        <v>2022.0</v>
      </c>
      <c r="Y3" s="11">
        <v>2023.0</v>
      </c>
      <c r="Z3" s="11">
        <v>2024.0</v>
      </c>
      <c r="AA3" s="11">
        <v>2025.0</v>
      </c>
      <c r="AB3" s="8"/>
      <c r="AC3" s="11" t="s">
        <v>29</v>
      </c>
      <c r="AD3" s="11" t="s">
        <v>30</v>
      </c>
      <c r="AE3" s="11" t="s">
        <v>31</v>
      </c>
      <c r="AF3" s="11" t="s">
        <v>32</v>
      </c>
      <c r="AG3" s="11" t="s">
        <v>33</v>
      </c>
      <c r="AH3" s="12"/>
      <c r="AI3" s="12"/>
    </row>
    <row r="4">
      <c r="A4" s="13" t="s">
        <v>34</v>
      </c>
      <c r="B4" s="14">
        <v>9327395.0</v>
      </c>
      <c r="C4" s="14">
        <v>1.0288124E7</v>
      </c>
      <c r="D4" s="14">
        <v>1.0110682E7</v>
      </c>
      <c r="E4" s="15">
        <v>2460480.0</v>
      </c>
      <c r="F4" s="15">
        <v>2477122.0</v>
      </c>
      <c r="G4" s="15">
        <v>2490082.0</v>
      </c>
      <c r="H4" s="15">
        <v>2493567.0</v>
      </c>
      <c r="I4" s="14">
        <v>9921251.0</v>
      </c>
      <c r="J4" s="15">
        <v>2466317.0</v>
      </c>
      <c r="K4" s="15">
        <v>2727242.0</v>
      </c>
      <c r="L4" s="15">
        <v>2711382.0</v>
      </c>
      <c r="M4" s="15">
        <v>2667797.0</v>
      </c>
      <c r="N4" s="14">
        <v>1.0572738E7</v>
      </c>
      <c r="O4" s="15">
        <v>2657156.0</v>
      </c>
      <c r="P4" s="15">
        <v>2745796.0</v>
      </c>
      <c r="Q4" s="15">
        <v>2766881.0</v>
      </c>
      <c r="R4" s="15">
        <v>2951712.0</v>
      </c>
      <c r="S4" s="14">
        <v>1.1121545E7</v>
      </c>
      <c r="T4" s="15">
        <v>3201744.0</v>
      </c>
      <c r="U4" s="1"/>
      <c r="V4" s="16">
        <f t="shared" ref="V4:X4" si="1">IFERROR(B4/B$4, "")</f>
        <v>1</v>
      </c>
      <c r="W4" s="16">
        <f t="shared" si="1"/>
        <v>1</v>
      </c>
      <c r="X4" s="16">
        <f t="shared" si="1"/>
        <v>1</v>
      </c>
      <c r="Y4" s="16">
        <f t="shared" ref="Y4:Y32" si="4">IFERROR(I4/I$4, "")</f>
        <v>1</v>
      </c>
      <c r="Z4" s="16">
        <f t="shared" ref="Z4:Z32" si="5">IFERROR(N4/N$4, "")</f>
        <v>1</v>
      </c>
      <c r="AA4" s="16">
        <f t="shared" ref="AA4:AA32" si="6">IFERROR(S4/S$4, "")</f>
        <v>1</v>
      </c>
      <c r="AB4" s="16"/>
      <c r="AC4" s="16">
        <f t="shared" ref="AC4:AD4" si="2">IFERROR((C4/B4)-1, "")</f>
        <v>0.1030007842</v>
      </c>
      <c r="AD4" s="16">
        <f t="shared" si="2"/>
        <v>-0.0172472649</v>
      </c>
      <c r="AE4" s="16">
        <f t="shared" ref="AE4:AE63" si="8">IFERROR((I4/D4)-1, "")</f>
        <v>-0.0187357292</v>
      </c>
      <c r="AF4" s="16">
        <f t="shared" ref="AF4:AF63" si="9">IFERROR((N4/I4)-1, "")</f>
        <v>0.0656658117</v>
      </c>
      <c r="AG4" s="16">
        <f t="shared" ref="AG4:AG63" si="10">IFERROR((S4/N4)-1, "")</f>
        <v>0.05190774613</v>
      </c>
      <c r="AH4" s="16"/>
      <c r="AI4" s="17"/>
    </row>
    <row r="5">
      <c r="A5" s="18" t="s">
        <v>35</v>
      </c>
      <c r="B5" s="14">
        <v>7007816.0</v>
      </c>
      <c r="C5" s="14">
        <v>7758532.0</v>
      </c>
      <c r="D5" s="14">
        <v>7405451.0</v>
      </c>
      <c r="E5" s="15">
        <v>1773710.0</v>
      </c>
      <c r="F5" s="15">
        <v>1765506.0</v>
      </c>
      <c r="G5" s="15">
        <v>1724972.0</v>
      </c>
      <c r="H5" s="15">
        <v>1689077.0</v>
      </c>
      <c r="I5" s="14">
        <v>6953265.0</v>
      </c>
      <c r="J5" s="15">
        <v>1657762.0</v>
      </c>
      <c r="K5" s="15">
        <v>1859409.0</v>
      </c>
      <c r="L5" s="15">
        <v>1885665.0</v>
      </c>
      <c r="M5" s="15">
        <v>1792807.0</v>
      </c>
      <c r="N5" s="14">
        <v>7195644.0</v>
      </c>
      <c r="O5" s="15">
        <v>1782314.0</v>
      </c>
      <c r="P5" s="15">
        <v>1866572.0</v>
      </c>
      <c r="Q5" s="15">
        <v>1832182.0</v>
      </c>
      <c r="R5" s="15">
        <v>1934332.0</v>
      </c>
      <c r="S5" s="14">
        <v>7415400.0</v>
      </c>
      <c r="T5" s="15">
        <v>2153287.0</v>
      </c>
      <c r="U5" s="1"/>
      <c r="V5" s="16">
        <f t="shared" ref="V5:X5" si="3">IFERROR(B5/B$4, "")</f>
        <v>0.751315453</v>
      </c>
      <c r="W5" s="16">
        <f t="shared" si="3"/>
        <v>0.7541250475</v>
      </c>
      <c r="X5" s="16">
        <f t="shared" si="3"/>
        <v>0.7324383261</v>
      </c>
      <c r="Y5" s="16">
        <f t="shared" si="4"/>
        <v>0.7008455889</v>
      </c>
      <c r="Z5" s="16">
        <f t="shared" si="5"/>
        <v>0.6805847265</v>
      </c>
      <c r="AA5" s="16">
        <f t="shared" si="6"/>
        <v>0.6667598791</v>
      </c>
      <c r="AB5" s="16"/>
      <c r="AC5" s="16">
        <f t="shared" ref="AC5:AD5" si="7">IFERROR((C5/B5)-1, "")</f>
        <v>0.1071255296</v>
      </c>
      <c r="AD5" s="16">
        <f t="shared" si="7"/>
        <v>-0.04550873799</v>
      </c>
      <c r="AE5" s="16">
        <f t="shared" si="8"/>
        <v>-0.06106123719</v>
      </c>
      <c r="AF5" s="16">
        <f t="shared" si="9"/>
        <v>0.03485830038</v>
      </c>
      <c r="AG5" s="16">
        <f t="shared" si="10"/>
        <v>0.03054014345</v>
      </c>
      <c r="AH5" s="16"/>
      <c r="AI5" s="17"/>
    </row>
    <row r="6">
      <c r="A6" s="19" t="s">
        <v>36</v>
      </c>
      <c r="B6" s="20">
        <v>3002705.0</v>
      </c>
      <c r="C6" s="20">
        <v>3494822.0</v>
      </c>
      <c r="D6" s="20">
        <v>3403189.0</v>
      </c>
      <c r="E6" s="21">
        <v>891067.0</v>
      </c>
      <c r="F6" s="21">
        <v>850803.0</v>
      </c>
      <c r="G6" s="21">
        <v>858589.0</v>
      </c>
      <c r="H6" s="21">
        <v>831317.0</v>
      </c>
      <c r="I6" s="20">
        <v>3431776.0</v>
      </c>
      <c r="J6" s="21">
        <v>801263.0</v>
      </c>
      <c r="K6" s="21">
        <v>949922.0</v>
      </c>
      <c r="L6" s="21">
        <v>955326.0</v>
      </c>
      <c r="M6" s="21">
        <v>921904.0</v>
      </c>
      <c r="N6" s="20">
        <v>3628416.0</v>
      </c>
      <c r="O6" s="21">
        <v>880943.0</v>
      </c>
      <c r="P6" s="21">
        <v>892956.0</v>
      </c>
      <c r="Q6" s="21">
        <v>887605.0</v>
      </c>
      <c r="R6" s="21">
        <v>910729.0</v>
      </c>
      <c r="S6" s="20">
        <v>3572233.0</v>
      </c>
      <c r="T6" s="21">
        <v>965514.0</v>
      </c>
      <c r="U6" s="1"/>
      <c r="V6" s="16">
        <f t="shared" ref="V6:X6" si="11">IFERROR(B6/B$4, "")</f>
        <v>0.3219232165</v>
      </c>
      <c r="W6" s="16">
        <f t="shared" si="11"/>
        <v>0.3396947782</v>
      </c>
      <c r="X6" s="16">
        <f t="shared" si="11"/>
        <v>0.3365934167</v>
      </c>
      <c r="Y6" s="16">
        <f t="shared" si="4"/>
        <v>0.34590154</v>
      </c>
      <c r="Z6" s="16">
        <f t="shared" si="5"/>
        <v>0.3431860318</v>
      </c>
      <c r="AA6" s="16">
        <f t="shared" si="6"/>
        <v>0.3211993478</v>
      </c>
      <c r="AB6" s="16"/>
      <c r="AC6" s="16">
        <f t="shared" ref="AC6:AD6" si="12">IFERROR((C6/B6)-1, "")</f>
        <v>0.1638912247</v>
      </c>
      <c r="AD6" s="16">
        <f t="shared" si="12"/>
        <v>-0.02621964724</v>
      </c>
      <c r="AE6" s="16">
        <f t="shared" si="8"/>
        <v>0.008400062412</v>
      </c>
      <c r="AF6" s="16">
        <f t="shared" si="9"/>
        <v>0.05729977714</v>
      </c>
      <c r="AG6" s="16">
        <f t="shared" si="10"/>
        <v>-0.0154841672</v>
      </c>
      <c r="AH6" s="16"/>
      <c r="AI6" s="22"/>
    </row>
    <row r="7">
      <c r="A7" s="19" t="s">
        <v>37</v>
      </c>
      <c r="B7" s="20">
        <v>3177003.0</v>
      </c>
      <c r="C7" s="20">
        <v>3325264.0</v>
      </c>
      <c r="D7" s="20">
        <v>2801462.0</v>
      </c>
      <c r="E7" s="21">
        <v>577582.0</v>
      </c>
      <c r="F7" s="21">
        <v>601328.0</v>
      </c>
      <c r="G7" s="21">
        <v>564424.0</v>
      </c>
      <c r="H7" s="21">
        <v>536846.0</v>
      </c>
      <c r="I7" s="20">
        <v>2280180.0</v>
      </c>
      <c r="J7" s="21">
        <v>549579.0</v>
      </c>
      <c r="K7" s="21">
        <v>562753.0</v>
      </c>
      <c r="L7" s="21">
        <v>575505.0</v>
      </c>
      <c r="M7" s="21">
        <v>526469.0</v>
      </c>
      <c r="N7" s="20">
        <v>2214306.0</v>
      </c>
      <c r="O7" s="21">
        <v>510767.0</v>
      </c>
      <c r="P7" s="21">
        <v>565147.0</v>
      </c>
      <c r="Q7" s="21">
        <v>518892.0</v>
      </c>
      <c r="R7" s="21">
        <v>567238.0</v>
      </c>
      <c r="S7" s="23">
        <v>2162044.0</v>
      </c>
      <c r="T7" s="21">
        <v>749194.0</v>
      </c>
      <c r="U7" s="1"/>
      <c r="V7" s="16">
        <f t="shared" ref="V7:X7" si="13">IFERROR(B7/B$4, "")</f>
        <v>0.3406098916</v>
      </c>
      <c r="W7" s="16">
        <f t="shared" si="13"/>
        <v>0.3232138337</v>
      </c>
      <c r="X7" s="16">
        <f t="shared" si="13"/>
        <v>0.2770794295</v>
      </c>
      <c r="Y7" s="16">
        <f t="shared" si="4"/>
        <v>0.2298278715</v>
      </c>
      <c r="Z7" s="16">
        <f t="shared" si="5"/>
        <v>0.2094354367</v>
      </c>
      <c r="AA7" s="16">
        <f t="shared" si="6"/>
        <v>0.1944014074</v>
      </c>
      <c r="AB7" s="16"/>
      <c r="AC7" s="16">
        <f t="shared" ref="AC7:AD7" si="14">IFERROR((C7/B7)-1, "")</f>
        <v>0.04666693736</v>
      </c>
      <c r="AD7" s="16">
        <f t="shared" si="14"/>
        <v>-0.1575219291</v>
      </c>
      <c r="AE7" s="16">
        <f t="shared" si="8"/>
        <v>-0.1860749851</v>
      </c>
      <c r="AF7" s="16">
        <f t="shared" si="9"/>
        <v>-0.02888982449</v>
      </c>
      <c r="AG7" s="16">
        <f t="shared" si="10"/>
        <v>-0.02360197732</v>
      </c>
      <c r="AH7" s="16"/>
      <c r="AI7" s="22"/>
    </row>
    <row r="8">
      <c r="A8" s="19" t="s">
        <v>38</v>
      </c>
      <c r="B8" s="20">
        <v>635599.0</v>
      </c>
      <c r="C8" s="20">
        <v>700115.0</v>
      </c>
      <c r="D8" s="20">
        <v>835843.0</v>
      </c>
      <c r="E8" s="21">
        <v>222966.0</v>
      </c>
      <c r="F8" s="21">
        <v>239099.0</v>
      </c>
      <c r="G8" s="21">
        <v>245223.0</v>
      </c>
      <c r="H8" s="21">
        <v>263284.0</v>
      </c>
      <c r="I8" s="20">
        <v>970572.0</v>
      </c>
      <c r="J8" s="21">
        <v>259193.0</v>
      </c>
      <c r="K8" s="21">
        <v>285612.0</v>
      </c>
      <c r="L8" s="21">
        <v>288592.0</v>
      </c>
      <c r="M8" s="21">
        <v>283529.0</v>
      </c>
      <c r="N8" s="20">
        <v>1116926.0</v>
      </c>
      <c r="O8" s="21">
        <v>315448.0</v>
      </c>
      <c r="P8" s="21">
        <v>328868.0</v>
      </c>
      <c r="Q8" s="21">
        <v>348878.0</v>
      </c>
      <c r="R8" s="21">
        <v>380033.0</v>
      </c>
      <c r="S8" s="23">
        <v>1373227.0</v>
      </c>
      <c r="T8" s="21">
        <v>362128.0</v>
      </c>
      <c r="U8" s="1"/>
      <c r="V8" s="16">
        <f t="shared" ref="V8:X8" si="15">IFERROR(B8/B$4, "")</f>
        <v>0.068143249</v>
      </c>
      <c r="W8" s="16">
        <f t="shared" si="15"/>
        <v>0.06805079332</v>
      </c>
      <c r="X8" s="16">
        <f t="shared" si="15"/>
        <v>0.08266929966</v>
      </c>
      <c r="Y8" s="16">
        <f t="shared" si="4"/>
        <v>0.09782758243</v>
      </c>
      <c r="Z8" s="16">
        <f t="shared" si="5"/>
        <v>0.1056420768</v>
      </c>
      <c r="AA8" s="16">
        <f t="shared" si="6"/>
        <v>0.1234744813</v>
      </c>
      <c r="AB8" s="16"/>
      <c r="AC8" s="16">
        <f t="shared" ref="AC8:AD8" si="16">IFERROR((C8/B8)-1, "")</f>
        <v>0.1015042503</v>
      </c>
      <c r="AD8" s="16">
        <f t="shared" si="16"/>
        <v>0.1938652936</v>
      </c>
      <c r="AE8" s="16">
        <f t="shared" si="8"/>
        <v>0.1611893621</v>
      </c>
      <c r="AF8" s="16">
        <f t="shared" si="9"/>
        <v>0.150791492</v>
      </c>
      <c r="AG8" s="16">
        <f t="shared" si="10"/>
        <v>0.2294699917</v>
      </c>
      <c r="AH8" s="16"/>
      <c r="AI8" s="22"/>
    </row>
    <row r="9">
      <c r="A9" s="19" t="s">
        <v>39</v>
      </c>
      <c r="B9" s="20">
        <v>192509.0</v>
      </c>
      <c r="C9" s="20">
        <v>238331.0</v>
      </c>
      <c r="D9" s="20">
        <v>364957.0</v>
      </c>
      <c r="E9" s="21">
        <v>82095.0</v>
      </c>
      <c r="F9" s="21">
        <v>74276.0</v>
      </c>
      <c r="G9" s="21">
        <v>56736.0</v>
      </c>
      <c r="H9" s="21">
        <v>57630.0</v>
      </c>
      <c r="I9" s="20">
        <v>270737.0</v>
      </c>
      <c r="J9" s="21">
        <v>47727.0</v>
      </c>
      <c r="K9" s="21">
        <v>61122.0</v>
      </c>
      <c r="L9" s="21">
        <v>66242.0</v>
      </c>
      <c r="M9" s="21">
        <v>60905.0</v>
      </c>
      <c r="N9" s="20">
        <v>235996.0</v>
      </c>
      <c r="O9" s="21">
        <v>75156.0</v>
      </c>
      <c r="P9" s="21">
        <v>79601.0</v>
      </c>
      <c r="Q9" s="21">
        <v>76807.0</v>
      </c>
      <c r="R9" s="21">
        <v>76332.0</v>
      </c>
      <c r="S9" s="20">
        <v>307896.0</v>
      </c>
      <c r="T9" s="21">
        <v>76451.0</v>
      </c>
      <c r="U9" s="1"/>
      <c r="V9" s="16">
        <f t="shared" ref="V9:X9" si="17">IFERROR(B9/B$4, "")</f>
        <v>0.02063909591</v>
      </c>
      <c r="W9" s="16">
        <f t="shared" si="17"/>
        <v>0.02316564225</v>
      </c>
      <c r="X9" s="16">
        <f t="shared" si="17"/>
        <v>0.03609618026</v>
      </c>
      <c r="Y9" s="16">
        <f t="shared" si="4"/>
        <v>0.02728859496</v>
      </c>
      <c r="Z9" s="16">
        <f t="shared" si="5"/>
        <v>0.02232118114</v>
      </c>
      <c r="AA9" s="16">
        <f t="shared" si="6"/>
        <v>0.02768464274</v>
      </c>
      <c r="AB9" s="16"/>
      <c r="AC9" s="16">
        <f t="shared" ref="AC9:AD9" si="18">IFERROR((C9/B9)-1, "")</f>
        <v>0.2380252352</v>
      </c>
      <c r="AD9" s="16">
        <f t="shared" si="18"/>
        <v>0.5313031037</v>
      </c>
      <c r="AE9" s="16">
        <f t="shared" si="8"/>
        <v>-0.2581674005</v>
      </c>
      <c r="AF9" s="16">
        <f t="shared" si="9"/>
        <v>-0.128320104</v>
      </c>
      <c r="AG9" s="16">
        <f t="shared" si="10"/>
        <v>0.3046661808</v>
      </c>
      <c r="AH9" s="16"/>
      <c r="AI9" s="22"/>
    </row>
    <row r="10">
      <c r="A10" s="18" t="s">
        <v>40</v>
      </c>
      <c r="B10" s="14">
        <v>540553.0</v>
      </c>
      <c r="C10" s="14">
        <v>591795.0</v>
      </c>
      <c r="D10" s="14">
        <v>586336.0</v>
      </c>
      <c r="E10" s="15">
        <v>137655.0</v>
      </c>
      <c r="F10" s="15">
        <v>131177.0</v>
      </c>
      <c r="G10" s="15">
        <v>150088.0</v>
      </c>
      <c r="H10" s="15">
        <v>153035.0</v>
      </c>
      <c r="I10" s="14">
        <v>571955.0</v>
      </c>
      <c r="J10" s="15">
        <v>148122.0</v>
      </c>
      <c r="K10" s="15">
        <v>155858.0</v>
      </c>
      <c r="L10" s="15">
        <v>153483.0</v>
      </c>
      <c r="M10" s="15">
        <v>153123.0</v>
      </c>
      <c r="N10" s="14">
        <v>610588.0</v>
      </c>
      <c r="O10" s="15">
        <v>156928.0</v>
      </c>
      <c r="P10" s="15">
        <v>159811.0</v>
      </c>
      <c r="Q10" s="15">
        <v>161740.0</v>
      </c>
      <c r="R10" s="15">
        <v>193960.0</v>
      </c>
      <c r="S10" s="14">
        <v>672439.0</v>
      </c>
      <c r="T10" s="15">
        <v>201709.0</v>
      </c>
      <c r="U10" s="1"/>
      <c r="V10" s="16">
        <f t="shared" ref="V10:X10" si="19">IFERROR(B10/B$4, "")</f>
        <v>0.05795326562</v>
      </c>
      <c r="W10" s="16">
        <f t="shared" si="19"/>
        <v>0.05752214884</v>
      </c>
      <c r="X10" s="16">
        <f t="shared" si="19"/>
        <v>0.05799173587</v>
      </c>
      <c r="Y10" s="16">
        <f t="shared" si="4"/>
        <v>0.05764948392</v>
      </c>
      <c r="Z10" s="16">
        <f t="shared" si="5"/>
        <v>0.05775117098</v>
      </c>
      <c r="AA10" s="16">
        <f t="shared" si="6"/>
        <v>0.06046273247</v>
      </c>
      <c r="AB10" s="16"/>
      <c r="AC10" s="16">
        <f t="shared" ref="AC10:AD10" si="20">IFERROR((C10/B10)-1, "")</f>
        <v>0.09479551496</v>
      </c>
      <c r="AD10" s="16">
        <f t="shared" si="20"/>
        <v>-0.009224478071</v>
      </c>
      <c r="AE10" s="16">
        <f t="shared" si="8"/>
        <v>-0.02452689243</v>
      </c>
      <c r="AF10" s="16">
        <f t="shared" si="9"/>
        <v>0.06754552369</v>
      </c>
      <c r="AG10" s="16">
        <f t="shared" si="10"/>
        <v>0.1012974379</v>
      </c>
      <c r="AH10" s="16"/>
      <c r="AI10" s="22"/>
    </row>
    <row r="11">
      <c r="A11" s="19" t="s">
        <v>41</v>
      </c>
      <c r="B11" s="20">
        <v>208592.0</v>
      </c>
      <c r="C11" s="20">
        <v>256108.0</v>
      </c>
      <c r="D11" s="20">
        <v>285283.0</v>
      </c>
      <c r="E11" s="21">
        <v>69237.0</v>
      </c>
      <c r="F11" s="21">
        <v>57453.0</v>
      </c>
      <c r="G11" s="21">
        <v>64928.0</v>
      </c>
      <c r="H11" s="21">
        <v>78365.0</v>
      </c>
      <c r="I11" s="20">
        <v>269983.0</v>
      </c>
      <c r="J11" s="21">
        <v>68901.0</v>
      </c>
      <c r="K11" s="21">
        <v>74960.0</v>
      </c>
      <c r="L11" s="21">
        <v>68353.0</v>
      </c>
      <c r="M11" s="21">
        <v>71531.0</v>
      </c>
      <c r="N11" s="20">
        <v>283744.0</v>
      </c>
      <c r="O11" s="21">
        <v>81238.0</v>
      </c>
      <c r="P11" s="21">
        <v>77096.0</v>
      </c>
      <c r="Q11" s="21">
        <v>75271.0</v>
      </c>
      <c r="R11" s="21">
        <v>93455.0</v>
      </c>
      <c r="S11" s="20">
        <v>327060.0</v>
      </c>
      <c r="T11" s="21">
        <v>96500.0</v>
      </c>
      <c r="U11" s="1"/>
      <c r="V11" s="16">
        <f t="shared" ref="V11:X11" si="21">IFERROR(B11/B$4, "")</f>
        <v>0.02236337155</v>
      </c>
      <c r="W11" s="16">
        <f t="shared" si="21"/>
        <v>0.02489355688</v>
      </c>
      <c r="X11" s="16">
        <f t="shared" si="21"/>
        <v>0.02821599967</v>
      </c>
      <c r="Y11" s="16">
        <f t="shared" si="4"/>
        <v>0.02721259648</v>
      </c>
      <c r="Z11" s="16">
        <f t="shared" si="5"/>
        <v>0.02683732445</v>
      </c>
      <c r="AA11" s="16">
        <f t="shared" si="6"/>
        <v>0.02940778462</v>
      </c>
      <c r="AB11" s="16"/>
      <c r="AC11" s="16">
        <f t="shared" ref="AC11:AD11" si="22">IFERROR((C11/B11)-1, "")</f>
        <v>0.227793971</v>
      </c>
      <c r="AD11" s="16">
        <f t="shared" si="22"/>
        <v>0.1139167851</v>
      </c>
      <c r="AE11" s="16">
        <f t="shared" si="8"/>
        <v>-0.05363095593</v>
      </c>
      <c r="AF11" s="16">
        <f t="shared" si="9"/>
        <v>0.05096987588</v>
      </c>
      <c r="AG11" s="16">
        <f t="shared" si="10"/>
        <v>0.1526587346</v>
      </c>
      <c r="AH11" s="16"/>
      <c r="AI11" s="22"/>
    </row>
    <row r="12">
      <c r="A12" s="19" t="s">
        <v>42</v>
      </c>
      <c r="B12" s="20">
        <v>196072.0</v>
      </c>
      <c r="C12" s="20">
        <v>177911.0</v>
      </c>
      <c r="D12" s="20">
        <v>170499.0</v>
      </c>
      <c r="E12" s="21">
        <v>38908.0</v>
      </c>
      <c r="F12" s="21">
        <v>40787.0</v>
      </c>
      <c r="G12" s="21">
        <v>42045.0</v>
      </c>
      <c r="H12" s="21">
        <v>43653.0</v>
      </c>
      <c r="I12" s="20">
        <v>165393.0</v>
      </c>
      <c r="J12" s="21">
        <v>46011.0</v>
      </c>
      <c r="K12" s="21">
        <v>46781.0</v>
      </c>
      <c r="L12" s="21">
        <v>46516.0</v>
      </c>
      <c r="M12" s="21">
        <v>48635.0</v>
      </c>
      <c r="N12" s="20">
        <v>187945.0</v>
      </c>
      <c r="O12" s="21">
        <v>47168.0</v>
      </c>
      <c r="P12" s="21">
        <v>48518.0</v>
      </c>
      <c r="Q12" s="21">
        <v>52935.0</v>
      </c>
      <c r="R12" s="21">
        <v>57546.0</v>
      </c>
      <c r="S12" s="20">
        <v>206167.0</v>
      </c>
      <c r="T12" s="21">
        <v>70069.0</v>
      </c>
      <c r="U12" s="1"/>
      <c r="V12" s="16">
        <f t="shared" ref="V12:X12" si="23">IFERROR(B12/B$4, "")</f>
        <v>0.02102108895</v>
      </c>
      <c r="W12" s="16">
        <f t="shared" si="23"/>
        <v>0.01729285145</v>
      </c>
      <c r="X12" s="16">
        <f t="shared" si="23"/>
        <v>0.01686325413</v>
      </c>
      <c r="Y12" s="16">
        <f t="shared" si="4"/>
        <v>0.01667057914</v>
      </c>
      <c r="Z12" s="16">
        <f t="shared" si="5"/>
        <v>0.01777637921</v>
      </c>
      <c r="AA12" s="16">
        <f t="shared" si="6"/>
        <v>0.01853762225</v>
      </c>
      <c r="AB12" s="16"/>
      <c r="AC12" s="16">
        <f t="shared" ref="AC12:AD12" si="24">IFERROR((C12/B12)-1, "")</f>
        <v>-0.09262413807</v>
      </c>
      <c r="AD12" s="16">
        <f t="shared" si="24"/>
        <v>-0.04166128008</v>
      </c>
      <c r="AE12" s="16">
        <f t="shared" si="8"/>
        <v>-0.02994738972</v>
      </c>
      <c r="AF12" s="16">
        <f t="shared" si="9"/>
        <v>0.1363540174</v>
      </c>
      <c r="AG12" s="16">
        <f t="shared" si="10"/>
        <v>0.09695389609</v>
      </c>
      <c r="AH12" s="16"/>
      <c r="AI12" s="22"/>
    </row>
    <row r="13">
      <c r="A13" s="19" t="s">
        <v>43</v>
      </c>
      <c r="B13" s="20">
        <v>135890.0</v>
      </c>
      <c r="C13" s="20">
        <v>157776.0</v>
      </c>
      <c r="D13" s="20">
        <v>130554.0</v>
      </c>
      <c r="E13" s="21">
        <v>29510.0</v>
      </c>
      <c r="F13" s="21">
        <v>32937.0</v>
      </c>
      <c r="G13" s="21">
        <v>43116.0</v>
      </c>
      <c r="H13" s="21">
        <v>31016.0</v>
      </c>
      <c r="I13" s="20">
        <v>136579.0</v>
      </c>
      <c r="J13" s="21">
        <v>33210.0</v>
      </c>
      <c r="K13" s="21">
        <v>34117.0</v>
      </c>
      <c r="L13" s="21">
        <v>38614.0</v>
      </c>
      <c r="M13" s="21">
        <v>32958.0</v>
      </c>
      <c r="N13" s="20">
        <v>138899.0</v>
      </c>
      <c r="O13" s="21">
        <v>28522.0</v>
      </c>
      <c r="P13" s="21">
        <v>34197.0</v>
      </c>
      <c r="Q13" s="21">
        <v>33534.0</v>
      </c>
      <c r="R13" s="21">
        <v>42959.0</v>
      </c>
      <c r="S13" s="20">
        <v>139212.0</v>
      </c>
      <c r="T13" s="21">
        <v>35140.0</v>
      </c>
      <c r="U13" s="1"/>
      <c r="V13" s="16">
        <f t="shared" ref="V13:X13" si="25">IFERROR(B13/B$4, "")</f>
        <v>0.01456891233</v>
      </c>
      <c r="W13" s="16">
        <f t="shared" si="25"/>
        <v>0.01533574051</v>
      </c>
      <c r="X13" s="16">
        <f t="shared" si="25"/>
        <v>0.01291248207</v>
      </c>
      <c r="Y13" s="16">
        <f t="shared" si="4"/>
        <v>0.0137663083</v>
      </c>
      <c r="Z13" s="16">
        <f t="shared" si="5"/>
        <v>0.01313746732</v>
      </c>
      <c r="AA13" s="16">
        <f t="shared" si="6"/>
        <v>0.01251732561</v>
      </c>
      <c r="AB13" s="16"/>
      <c r="AC13" s="16">
        <f t="shared" ref="AC13:AD13" si="26">IFERROR((C13/B13)-1, "")</f>
        <v>0.1610567371</v>
      </c>
      <c r="AD13" s="16">
        <f t="shared" si="26"/>
        <v>-0.1725357469</v>
      </c>
      <c r="AE13" s="16">
        <f t="shared" si="8"/>
        <v>0.04614948604</v>
      </c>
      <c r="AF13" s="16">
        <f t="shared" si="9"/>
        <v>0.01698650598</v>
      </c>
      <c r="AG13" s="16">
        <f t="shared" si="10"/>
        <v>0.00225343595</v>
      </c>
      <c r="AH13" s="16"/>
      <c r="AI13" s="22"/>
    </row>
    <row r="14">
      <c r="A14" s="18" t="s">
        <v>44</v>
      </c>
      <c r="B14" s="14">
        <v>463909.0</v>
      </c>
      <c r="C14" s="14">
        <v>527743.0</v>
      </c>
      <c r="D14" s="14">
        <v>701141.0</v>
      </c>
      <c r="E14" s="15">
        <v>178990.0</v>
      </c>
      <c r="F14" s="15">
        <v>194547.0</v>
      </c>
      <c r="G14" s="15">
        <v>216614.0</v>
      </c>
      <c r="H14" s="15">
        <v>259470.0</v>
      </c>
      <c r="I14" s="14">
        <v>849621.0</v>
      </c>
      <c r="J14" s="15">
        <v>252422.0</v>
      </c>
      <c r="K14" s="15">
        <v>255596.0</v>
      </c>
      <c r="L14" s="15">
        <v>246668.0</v>
      </c>
      <c r="M14" s="15">
        <v>263701.0</v>
      </c>
      <c r="N14" s="14">
        <v>1018387.0</v>
      </c>
      <c r="O14" s="15">
        <v>258392.0</v>
      </c>
      <c r="P14" s="15">
        <v>258334.0</v>
      </c>
      <c r="Q14" s="15">
        <v>291446.0</v>
      </c>
      <c r="R14" s="15">
        <v>315394.0</v>
      </c>
      <c r="S14" s="14">
        <v>1123566.0</v>
      </c>
      <c r="T14" s="15">
        <v>317496.0</v>
      </c>
      <c r="U14" s="1"/>
      <c r="V14" s="16">
        <f t="shared" ref="V14:X14" si="27">IFERROR(B14/B$4, "")</f>
        <v>0.04973618036</v>
      </c>
      <c r="W14" s="16">
        <f t="shared" si="27"/>
        <v>0.05129632963</v>
      </c>
      <c r="X14" s="16">
        <f t="shared" si="27"/>
        <v>0.06934655842</v>
      </c>
      <c r="Y14" s="16">
        <f t="shared" si="4"/>
        <v>0.08563647871</v>
      </c>
      <c r="Z14" s="16">
        <f t="shared" si="5"/>
        <v>0.0963219745</v>
      </c>
      <c r="AA14" s="16">
        <f t="shared" si="6"/>
        <v>0.1010260715</v>
      </c>
      <c r="AB14" s="16"/>
      <c r="AC14" s="16">
        <f t="shared" ref="AC14:AD14" si="28">IFERROR((C14/B14)-1, "")</f>
        <v>0.1376002621</v>
      </c>
      <c r="AD14" s="16">
        <f t="shared" si="28"/>
        <v>0.3285652297</v>
      </c>
      <c r="AE14" s="16">
        <f t="shared" si="8"/>
        <v>0.2117691021</v>
      </c>
      <c r="AF14" s="16">
        <f t="shared" si="9"/>
        <v>0.1986368039</v>
      </c>
      <c r="AG14" s="16">
        <f t="shared" si="10"/>
        <v>0.1032799908</v>
      </c>
      <c r="AH14" s="16"/>
      <c r="AI14" s="22"/>
    </row>
    <row r="15">
      <c r="A15" s="19" t="s">
        <v>45</v>
      </c>
      <c r="B15" s="20">
        <v>373869.0</v>
      </c>
      <c r="C15" s="20">
        <v>413546.0</v>
      </c>
      <c r="D15" s="20">
        <v>394746.0</v>
      </c>
      <c r="E15" s="21">
        <v>103893.0</v>
      </c>
      <c r="F15" s="21">
        <v>104225.0</v>
      </c>
      <c r="G15" s="21">
        <v>110017.0</v>
      </c>
      <c r="H15" s="21">
        <v>146478.0</v>
      </c>
      <c r="I15" s="20">
        <v>464613.0</v>
      </c>
      <c r="J15" s="21">
        <v>138835.0</v>
      </c>
      <c r="K15" s="21">
        <v>145442.0</v>
      </c>
      <c r="L15" s="21">
        <v>131888.0</v>
      </c>
      <c r="M15" s="21">
        <v>133088.0</v>
      </c>
      <c r="N15" s="20">
        <v>549254.0</v>
      </c>
      <c r="O15" s="21">
        <v>128961.0</v>
      </c>
      <c r="P15" s="21">
        <v>132915.0</v>
      </c>
      <c r="Q15" s="21">
        <v>155878.0</v>
      </c>
      <c r="R15" s="21">
        <v>154392.0</v>
      </c>
      <c r="S15" s="20">
        <v>572146.0</v>
      </c>
      <c r="T15" s="21">
        <v>177566.0</v>
      </c>
      <c r="U15" s="1"/>
      <c r="V15" s="16">
        <f t="shared" ref="V15:X15" si="29">IFERROR(B15/B$4, "")</f>
        <v>0.0400828956</v>
      </c>
      <c r="W15" s="16">
        <f t="shared" si="29"/>
        <v>0.04019644398</v>
      </c>
      <c r="X15" s="16">
        <f t="shared" si="29"/>
        <v>0.03904247013</v>
      </c>
      <c r="Y15" s="16">
        <f t="shared" si="4"/>
        <v>0.04683008221</v>
      </c>
      <c r="Z15" s="16">
        <f t="shared" si="5"/>
        <v>0.05195002468</v>
      </c>
      <c r="AA15" s="16">
        <f t="shared" si="6"/>
        <v>0.05144483073</v>
      </c>
      <c r="AB15" s="16"/>
      <c r="AC15" s="16">
        <f t="shared" ref="AC15:AD15" si="30">IFERROR((C15/B15)-1, "")</f>
        <v>0.1061254076</v>
      </c>
      <c r="AD15" s="16">
        <f t="shared" si="30"/>
        <v>-0.04546048082</v>
      </c>
      <c r="AE15" s="16">
        <f t="shared" si="8"/>
        <v>0.1769922938</v>
      </c>
      <c r="AF15" s="16">
        <f t="shared" si="9"/>
        <v>0.1821752728</v>
      </c>
      <c r="AG15" s="16">
        <f t="shared" si="10"/>
        <v>0.04167834918</v>
      </c>
      <c r="AH15" s="16"/>
      <c r="AI15" s="22"/>
    </row>
    <row r="16">
      <c r="A16" s="19" t="s">
        <v>46</v>
      </c>
      <c r="B16" s="20">
        <v>90040.0</v>
      </c>
      <c r="C16" s="20">
        <v>114197.0</v>
      </c>
      <c r="D16" s="20">
        <v>306395.0</v>
      </c>
      <c r="E16" s="21">
        <v>75097.0</v>
      </c>
      <c r="F16" s="21">
        <v>90322.0</v>
      </c>
      <c r="G16" s="21">
        <v>106597.0</v>
      </c>
      <c r="H16" s="21">
        <v>112992.0</v>
      </c>
      <c r="I16" s="20">
        <v>385008.0</v>
      </c>
      <c r="J16" s="21">
        <v>113587.0</v>
      </c>
      <c r="K16" s="21">
        <v>110154.0</v>
      </c>
      <c r="L16" s="21">
        <v>114780.0</v>
      </c>
      <c r="M16" s="21">
        <v>130613.0</v>
      </c>
      <c r="N16" s="20">
        <v>469133.0</v>
      </c>
      <c r="O16" s="21">
        <v>129431.0</v>
      </c>
      <c r="P16" s="21">
        <v>125419.0</v>
      </c>
      <c r="Q16" s="21">
        <v>135568.0</v>
      </c>
      <c r="R16" s="21">
        <v>161002.0</v>
      </c>
      <c r="S16" s="20">
        <v>551420.0</v>
      </c>
      <c r="T16" s="21">
        <v>139930.0</v>
      </c>
      <c r="U16" s="1"/>
      <c r="V16" s="16">
        <f t="shared" ref="V16:X16" si="31">IFERROR(B16/B$4, "")</f>
        <v>0.00965328476</v>
      </c>
      <c r="W16" s="16">
        <f t="shared" si="31"/>
        <v>0.01109988565</v>
      </c>
      <c r="X16" s="16">
        <f t="shared" si="31"/>
        <v>0.03030408829</v>
      </c>
      <c r="Y16" s="16">
        <f t="shared" si="4"/>
        <v>0.03880639649</v>
      </c>
      <c r="Z16" s="16">
        <f t="shared" si="5"/>
        <v>0.04437194982</v>
      </c>
      <c r="AA16" s="16">
        <f t="shared" si="6"/>
        <v>0.04958124074</v>
      </c>
      <c r="AB16" s="16"/>
      <c r="AC16" s="16">
        <f t="shared" ref="AC16:AD16" si="32">IFERROR((C16/B16)-1, "")</f>
        <v>0.2682918703</v>
      </c>
      <c r="AD16" s="16">
        <f t="shared" si="32"/>
        <v>1.683038959</v>
      </c>
      <c r="AE16" s="16">
        <f t="shared" si="8"/>
        <v>0.2565740303</v>
      </c>
      <c r="AF16" s="16">
        <f t="shared" si="9"/>
        <v>0.2185019532</v>
      </c>
      <c r="AG16" s="16">
        <f t="shared" si="10"/>
        <v>0.1754022846</v>
      </c>
      <c r="AH16" s="16"/>
      <c r="AI16" s="22"/>
    </row>
    <row r="17">
      <c r="A17" s="18" t="s">
        <v>47</v>
      </c>
      <c r="B17" s="14">
        <v>1036059.0</v>
      </c>
      <c r="C17" s="14">
        <v>1225870.0</v>
      </c>
      <c r="D17" s="14">
        <v>1413259.0</v>
      </c>
      <c r="E17" s="15">
        <v>369975.0</v>
      </c>
      <c r="F17" s="15">
        <v>384021.0</v>
      </c>
      <c r="G17" s="15">
        <v>387474.0</v>
      </c>
      <c r="H17" s="15">
        <v>391782.0</v>
      </c>
      <c r="I17" s="14">
        <v>1533252.0</v>
      </c>
      <c r="J17" s="15">
        <v>394034.0</v>
      </c>
      <c r="K17" s="15">
        <v>408989.0</v>
      </c>
      <c r="L17" s="15">
        <v>426251.0</v>
      </c>
      <c r="M17" s="15">
        <v>434449.0</v>
      </c>
      <c r="N17" s="14">
        <v>1663720.0</v>
      </c>
      <c r="O17" s="15">
        <v>459516.0</v>
      </c>
      <c r="P17" s="15">
        <v>460552.0</v>
      </c>
      <c r="Q17" s="15">
        <v>481465.0</v>
      </c>
      <c r="R17" s="15">
        <v>507761.0</v>
      </c>
      <c r="S17" s="14">
        <v>1909294.0</v>
      </c>
      <c r="T17" s="15">
        <v>527608.0</v>
      </c>
      <c r="U17" s="1"/>
      <c r="V17" s="16">
        <f t="shared" ref="V17:X17" si="33">IFERROR(B17/B$4, "")</f>
        <v>0.1110769942</v>
      </c>
      <c r="W17" s="16">
        <f t="shared" si="33"/>
        <v>0.1191538904</v>
      </c>
      <c r="X17" s="16">
        <f t="shared" si="33"/>
        <v>0.1397788003</v>
      </c>
      <c r="Y17" s="16">
        <f t="shared" si="4"/>
        <v>0.1545422044</v>
      </c>
      <c r="Z17" s="16">
        <f t="shared" si="5"/>
        <v>0.1573594276</v>
      </c>
      <c r="AA17" s="16">
        <f t="shared" si="6"/>
        <v>0.1716752484</v>
      </c>
      <c r="AB17" s="16"/>
      <c r="AC17" s="16">
        <f t="shared" ref="AC17:AD17" si="34">IFERROR((C17/B17)-1, "")</f>
        <v>0.1832048175</v>
      </c>
      <c r="AD17" s="16">
        <f t="shared" si="34"/>
        <v>0.152862049</v>
      </c>
      <c r="AE17" s="16">
        <f t="shared" si="8"/>
        <v>0.08490517308</v>
      </c>
      <c r="AF17" s="16">
        <f t="shared" si="9"/>
        <v>0.08509233968</v>
      </c>
      <c r="AG17" s="16">
        <f t="shared" si="10"/>
        <v>0.1476053663</v>
      </c>
      <c r="AH17" s="16"/>
      <c r="AI17" s="17"/>
    </row>
    <row r="18">
      <c r="A18" s="24" t="s">
        <v>48</v>
      </c>
      <c r="B18" s="20">
        <v>646626.0</v>
      </c>
      <c r="C18" s="20">
        <v>770636.0</v>
      </c>
      <c r="D18" s="20">
        <v>918212.0</v>
      </c>
      <c r="E18" s="21">
        <v>254060.0</v>
      </c>
      <c r="F18" s="21">
        <v>259177.0</v>
      </c>
      <c r="G18" s="21">
        <v>263257.0</v>
      </c>
      <c r="H18" s="21">
        <v>267435.0</v>
      </c>
      <c r="I18" s="20">
        <v>1043929.0</v>
      </c>
      <c r="J18" s="21">
        <v>281951.0</v>
      </c>
      <c r="K18" s="21">
        <v>285847.0</v>
      </c>
      <c r="L18" s="21">
        <v>294067.0</v>
      </c>
      <c r="M18" s="21">
        <v>295719.0</v>
      </c>
      <c r="N18" s="20">
        <v>1157583.0</v>
      </c>
      <c r="O18" s="21">
        <v>307324.0</v>
      </c>
      <c r="P18" s="21">
        <v>314401.0</v>
      </c>
      <c r="Q18" s="21">
        <v>322213.0</v>
      </c>
      <c r="R18" s="21">
        <v>328331.0</v>
      </c>
      <c r="S18" s="20">
        <v>1272269.0</v>
      </c>
      <c r="T18" s="21">
        <v>342160.0</v>
      </c>
      <c r="U18" s="1"/>
      <c r="V18" s="16">
        <f t="shared" ref="V18:X18" si="35">IFERROR(B18/B$4, "")</f>
        <v>0.06932546547</v>
      </c>
      <c r="W18" s="16">
        <f t="shared" si="35"/>
        <v>0.07490539577</v>
      </c>
      <c r="X18" s="16">
        <f t="shared" si="35"/>
        <v>0.09081603002</v>
      </c>
      <c r="Y18" s="16">
        <f t="shared" si="4"/>
        <v>0.1052215089</v>
      </c>
      <c r="Z18" s="16">
        <f t="shared" si="5"/>
        <v>0.1094875329</v>
      </c>
      <c r="AA18" s="16">
        <f t="shared" si="6"/>
        <v>0.1143967857</v>
      </c>
      <c r="AB18" s="16"/>
      <c r="AC18" s="16">
        <f t="shared" ref="AC18:AD18" si="36">IFERROR((C18/B18)-1, "")</f>
        <v>0.1917801016</v>
      </c>
      <c r="AD18" s="16">
        <f t="shared" si="36"/>
        <v>0.1914989697</v>
      </c>
      <c r="AE18" s="16">
        <f t="shared" si="8"/>
        <v>0.1369150044</v>
      </c>
      <c r="AF18" s="16">
        <f t="shared" si="9"/>
        <v>0.1088713888</v>
      </c>
      <c r="AG18" s="16">
        <f t="shared" si="10"/>
        <v>0.09907367333</v>
      </c>
      <c r="AH18" s="16"/>
      <c r="AI18" s="22"/>
    </row>
    <row r="19">
      <c r="A19" s="24" t="s">
        <v>49</v>
      </c>
      <c r="B19" s="20">
        <v>290467.0</v>
      </c>
      <c r="C19" s="20">
        <v>331292.0</v>
      </c>
      <c r="D19" s="20">
        <v>381549.0</v>
      </c>
      <c r="E19" s="21">
        <v>93304.0</v>
      </c>
      <c r="F19" s="21">
        <v>96347.0</v>
      </c>
      <c r="G19" s="21">
        <v>99385.0</v>
      </c>
      <c r="H19" s="21">
        <v>103555.0</v>
      </c>
      <c r="I19" s="20">
        <v>392591.0</v>
      </c>
      <c r="J19" s="21">
        <v>90867.0</v>
      </c>
      <c r="K19" s="21">
        <v>115796.0</v>
      </c>
      <c r="L19" s="21">
        <v>110249.0</v>
      </c>
      <c r="M19" s="21">
        <v>117357.0</v>
      </c>
      <c r="N19" s="20">
        <v>434269.0</v>
      </c>
      <c r="O19" s="21">
        <v>129078.0</v>
      </c>
      <c r="P19" s="21">
        <v>123802.0</v>
      </c>
      <c r="Q19" s="21">
        <v>142915.0</v>
      </c>
      <c r="R19" s="21">
        <v>159644.0</v>
      </c>
      <c r="S19" s="20">
        <v>555439.0</v>
      </c>
      <c r="T19" s="21">
        <v>158870.0</v>
      </c>
      <c r="U19" s="1"/>
      <c r="V19" s="16">
        <f t="shared" ref="V19:X19" si="37">IFERROR(B19/B$4, "")</f>
        <v>0.03114127792</v>
      </c>
      <c r="W19" s="16">
        <f t="shared" si="37"/>
        <v>0.03220140037</v>
      </c>
      <c r="X19" s="16">
        <f t="shared" si="37"/>
        <v>0.03773721694</v>
      </c>
      <c r="Y19" s="16">
        <f t="shared" si="4"/>
        <v>0.03957071543</v>
      </c>
      <c r="Z19" s="16">
        <f t="shared" si="5"/>
        <v>0.04107441232</v>
      </c>
      <c r="AA19" s="16">
        <f t="shared" si="6"/>
        <v>0.04994261139</v>
      </c>
      <c r="AB19" s="16"/>
      <c r="AC19" s="16">
        <f t="shared" ref="AC19:AD19" si="38">IFERROR((C19/B19)-1, "")</f>
        <v>0.1405495289</v>
      </c>
      <c r="AD19" s="16">
        <f t="shared" si="38"/>
        <v>0.1517000109</v>
      </c>
      <c r="AE19" s="16">
        <f t="shared" si="8"/>
        <v>0.02893992646</v>
      </c>
      <c r="AF19" s="16">
        <f t="shared" si="9"/>
        <v>0.1061613741</v>
      </c>
      <c r="AG19" s="16">
        <f t="shared" si="10"/>
        <v>0.279020607</v>
      </c>
      <c r="AH19" s="16"/>
      <c r="AI19" s="22"/>
    </row>
    <row r="20">
      <c r="A20" s="24" t="s">
        <v>50</v>
      </c>
      <c r="B20" s="20">
        <v>98966.0</v>
      </c>
      <c r="C20" s="20">
        <v>123942.0</v>
      </c>
      <c r="D20" s="20">
        <v>113498.0</v>
      </c>
      <c r="E20" s="21">
        <v>22611.0</v>
      </c>
      <c r="F20" s="21">
        <v>28497.0</v>
      </c>
      <c r="G20" s="21">
        <v>24832.0</v>
      </c>
      <c r="H20" s="21">
        <v>20792.0</v>
      </c>
      <c r="I20" s="20">
        <v>96732.0</v>
      </c>
      <c r="J20" s="21">
        <v>21216.0</v>
      </c>
      <c r="K20" s="21">
        <v>7346.0</v>
      </c>
      <c r="L20" s="21">
        <v>21935.0</v>
      </c>
      <c r="M20" s="21">
        <v>21373.0</v>
      </c>
      <c r="N20" s="20">
        <v>71868.0</v>
      </c>
      <c r="O20" s="21">
        <v>23114.0</v>
      </c>
      <c r="P20" s="21">
        <v>22349.0</v>
      </c>
      <c r="Q20" s="21">
        <v>16337.0</v>
      </c>
      <c r="R20" s="21">
        <v>19786.0</v>
      </c>
      <c r="S20" s="20">
        <v>81586.0</v>
      </c>
      <c r="T20" s="21">
        <v>26578.0</v>
      </c>
      <c r="U20" s="1"/>
      <c r="V20" s="16">
        <f t="shared" ref="V20:X20" si="39">IFERROR(B20/B$4, "")</f>
        <v>0.01061025077</v>
      </c>
      <c r="W20" s="16">
        <f t="shared" si="39"/>
        <v>0.0120470943</v>
      </c>
      <c r="X20" s="16">
        <f t="shared" si="39"/>
        <v>0.01122555333</v>
      </c>
      <c r="Y20" s="16">
        <f t="shared" si="4"/>
        <v>0.009749980118</v>
      </c>
      <c r="Z20" s="16">
        <f t="shared" si="5"/>
        <v>0.006797482355</v>
      </c>
      <c r="AA20" s="16">
        <f t="shared" si="6"/>
        <v>0.007335851269</v>
      </c>
      <c r="AB20" s="16"/>
      <c r="AC20" s="16">
        <f t="shared" ref="AC20:AD20" si="40">IFERROR((C20/B20)-1, "")</f>
        <v>0.2523695006</v>
      </c>
      <c r="AD20" s="16">
        <f t="shared" si="40"/>
        <v>-0.08426522083</v>
      </c>
      <c r="AE20" s="16">
        <f t="shared" si="8"/>
        <v>-0.1477206647</v>
      </c>
      <c r="AF20" s="16">
        <f t="shared" si="9"/>
        <v>-0.2570400695</v>
      </c>
      <c r="AG20" s="16">
        <f t="shared" si="10"/>
        <v>0.1352201258</v>
      </c>
      <c r="AH20" s="16"/>
      <c r="AI20" s="22"/>
    </row>
    <row r="21">
      <c r="A21" s="25" t="s">
        <v>51</v>
      </c>
      <c r="B21" s="14">
        <v>279058.0</v>
      </c>
      <c r="C21" s="14">
        <v>184184.0</v>
      </c>
      <c r="D21" s="14">
        <v>4495.0</v>
      </c>
      <c r="E21" s="15">
        <v>150.0</v>
      </c>
      <c r="F21" s="15">
        <v>1871.0</v>
      </c>
      <c r="G21" s="15">
        <v>10934.0</v>
      </c>
      <c r="H21" s="15">
        <v>203.0</v>
      </c>
      <c r="I21" s="14">
        <v>13158.0</v>
      </c>
      <c r="J21" s="15">
        <v>13977.0</v>
      </c>
      <c r="K21" s="15">
        <v>47390.0</v>
      </c>
      <c r="L21" s="15">
        <v>-685.0</v>
      </c>
      <c r="M21" s="26">
        <v>23717.0</v>
      </c>
      <c r="N21" s="14">
        <v>84399.0</v>
      </c>
      <c r="O21" s="26">
        <v>6.0</v>
      </c>
      <c r="P21" s="26">
        <v>527.0</v>
      </c>
      <c r="Q21" s="26">
        <v>48.0</v>
      </c>
      <c r="R21" s="26">
        <v>265.0</v>
      </c>
      <c r="S21" s="14">
        <v>846.0</v>
      </c>
      <c r="T21" s="26">
        <v>1644.0</v>
      </c>
      <c r="U21" s="1"/>
      <c r="V21" s="16">
        <f t="shared" ref="V21:X21" si="41">IFERROR(B21/B$4, "")</f>
        <v>0.02991810682</v>
      </c>
      <c r="W21" s="16">
        <f t="shared" si="41"/>
        <v>0.0179025836</v>
      </c>
      <c r="X21" s="16">
        <f t="shared" si="41"/>
        <v>0.0004445793073</v>
      </c>
      <c r="Y21" s="16">
        <f t="shared" si="4"/>
        <v>0.001326244039</v>
      </c>
      <c r="Z21" s="16">
        <f t="shared" si="5"/>
        <v>0.007982700413</v>
      </c>
      <c r="AA21" s="16">
        <f t="shared" si="6"/>
        <v>0.00007606856781</v>
      </c>
      <c r="AB21" s="16"/>
      <c r="AC21" s="16">
        <f t="shared" ref="AC21:AD21" si="42">IFERROR((C21/B21)-1, "")</f>
        <v>-0.3399795025</v>
      </c>
      <c r="AD21" s="16">
        <f t="shared" si="42"/>
        <v>-0.9755950571</v>
      </c>
      <c r="AE21" s="16">
        <f t="shared" si="8"/>
        <v>1.927252503</v>
      </c>
      <c r="AF21" s="16">
        <f t="shared" si="9"/>
        <v>5.414272686</v>
      </c>
      <c r="AG21" s="16">
        <f t="shared" si="10"/>
        <v>-0.9899761846</v>
      </c>
      <c r="AH21" s="16"/>
      <c r="AI21" s="22"/>
    </row>
    <row r="22">
      <c r="A22" s="18" t="s">
        <v>52</v>
      </c>
      <c r="B22" s="27">
        <v>-944820.0</v>
      </c>
      <c r="C22" s="27">
        <v>-1039880.0</v>
      </c>
      <c r="D22" s="27">
        <v>-1018969.0</v>
      </c>
      <c r="E22" s="26">
        <v>-251080.0</v>
      </c>
      <c r="F22" s="26">
        <v>-246900.0</v>
      </c>
      <c r="G22" s="26">
        <v>-241862.0</v>
      </c>
      <c r="H22" s="26">
        <v>-251384.0</v>
      </c>
      <c r="I22" s="27">
        <v>-991226.0</v>
      </c>
      <c r="J22" s="26">
        <v>-244989.0</v>
      </c>
      <c r="K22" s="26">
        <v>-270228.0</v>
      </c>
      <c r="L22" s="26">
        <v>-275466.0</v>
      </c>
      <c r="M22" s="26">
        <v>-268587.0</v>
      </c>
      <c r="N22" s="27">
        <v>-1059270.0</v>
      </c>
      <c r="O22" s="26">
        <v>-269202.0</v>
      </c>
      <c r="P22" s="26">
        <v>-203500.0</v>
      </c>
      <c r="Q22" s="26">
        <v>-280932.0</v>
      </c>
      <c r="R22" s="26">
        <v>-299684.0</v>
      </c>
      <c r="S22" s="27">
        <v>-1053318.0</v>
      </c>
      <c r="T22" s="26">
        <v>-328325.0</v>
      </c>
      <c r="U22" s="1"/>
      <c r="V22" s="16">
        <f t="shared" ref="V22:X22" si="43">IFERROR(B22/B$4, "")</f>
        <v>-0.1012951633</v>
      </c>
      <c r="W22" s="16">
        <f t="shared" si="43"/>
        <v>-0.1010757646</v>
      </c>
      <c r="X22" s="16">
        <f t="shared" si="43"/>
        <v>-0.100781431</v>
      </c>
      <c r="Y22" s="16">
        <f t="shared" si="4"/>
        <v>-0.09990937635</v>
      </c>
      <c r="Z22" s="16">
        <f t="shared" si="5"/>
        <v>-0.1001888063</v>
      </c>
      <c r="AA22" s="16">
        <f t="shared" si="6"/>
        <v>-0.09470968287</v>
      </c>
      <c r="AB22" s="16"/>
      <c r="AC22" s="16">
        <f t="shared" ref="AC22:AD22" si="44">IFERROR((C22/B22)-1, "")</f>
        <v>0.1006117567</v>
      </c>
      <c r="AD22" s="16">
        <f t="shared" si="44"/>
        <v>-0.02010905104</v>
      </c>
      <c r="AE22" s="16">
        <f t="shared" si="8"/>
        <v>-0.02722653977</v>
      </c>
      <c r="AF22" s="16">
        <f t="shared" si="9"/>
        <v>0.06864630266</v>
      </c>
      <c r="AG22" s="16">
        <f t="shared" si="10"/>
        <v>-0.005618964004</v>
      </c>
      <c r="AH22" s="16"/>
      <c r="AI22" s="22"/>
    </row>
    <row r="23">
      <c r="A23" s="24" t="s">
        <v>53</v>
      </c>
      <c r="B23" s="28">
        <v>-791833.0</v>
      </c>
      <c r="C23" s="28">
        <v>-872647.0</v>
      </c>
      <c r="D23" s="28">
        <v>-845047.0</v>
      </c>
      <c r="E23" s="29">
        <v>-210209.0</v>
      </c>
      <c r="F23" s="29">
        <v>-203537.0</v>
      </c>
      <c r="G23" s="29">
        <v>-198319.0</v>
      </c>
      <c r="H23" s="29">
        <v>-205975.0</v>
      </c>
      <c r="I23" s="28">
        <v>-818040.0</v>
      </c>
      <c r="J23" s="29">
        <v>-200779.0</v>
      </c>
      <c r="K23" s="29">
        <v>-221384.0</v>
      </c>
      <c r="L23" s="29">
        <v>-225996.0</v>
      </c>
      <c r="M23" s="29">
        <v>-217571.0</v>
      </c>
      <c r="N23" s="28">
        <v>-865730.0</v>
      </c>
      <c r="O23" s="29">
        <v>-218990.0</v>
      </c>
      <c r="P23" s="29">
        <v>-150825.0</v>
      </c>
      <c r="Q23" s="29">
        <v>-228776.0</v>
      </c>
      <c r="R23" s="29">
        <v>-244225.0</v>
      </c>
      <c r="S23" s="28">
        <v>-842816.0</v>
      </c>
      <c r="T23" s="29">
        <v>-266365.0</v>
      </c>
      <c r="U23" s="1"/>
      <c r="V23" s="16">
        <f t="shared" ref="V23:X23" si="45">IFERROR(B23/B$4, "")</f>
        <v>-0.08489326334</v>
      </c>
      <c r="W23" s="16">
        <f t="shared" si="45"/>
        <v>-0.08482080892</v>
      </c>
      <c r="X23" s="16">
        <f t="shared" si="45"/>
        <v>-0.08357962401</v>
      </c>
      <c r="Y23" s="16">
        <f t="shared" si="4"/>
        <v>-0.08245331158</v>
      </c>
      <c r="Z23" s="16">
        <f t="shared" si="5"/>
        <v>-0.08188323592</v>
      </c>
      <c r="AA23" s="16">
        <f t="shared" si="6"/>
        <v>-0.07578227665</v>
      </c>
      <c r="AB23" s="16"/>
      <c r="AC23" s="16">
        <f t="shared" ref="AC23:AD23" si="46">IFERROR((C23/B23)-1, "")</f>
        <v>0.1020593989</v>
      </c>
      <c r="AD23" s="16">
        <f t="shared" si="46"/>
        <v>-0.03162790911</v>
      </c>
      <c r="AE23" s="16">
        <f t="shared" si="8"/>
        <v>-0.03195916913</v>
      </c>
      <c r="AF23" s="16">
        <f t="shared" si="9"/>
        <v>0.05829788274</v>
      </c>
      <c r="AG23" s="16">
        <f t="shared" si="10"/>
        <v>-0.02646783639</v>
      </c>
      <c r="AH23" s="16"/>
      <c r="AI23" s="22"/>
    </row>
    <row r="24">
      <c r="A24" s="24" t="s">
        <v>54</v>
      </c>
      <c r="B24" s="28">
        <v>-152987.0</v>
      </c>
      <c r="C24" s="28">
        <v>-167233.0</v>
      </c>
      <c r="D24" s="28">
        <v>-173922.0</v>
      </c>
      <c r="E24" s="29">
        <v>-40871.0</v>
      </c>
      <c r="F24" s="29">
        <v>-43363.0</v>
      </c>
      <c r="G24" s="29">
        <v>-43543.0</v>
      </c>
      <c r="H24" s="29">
        <v>-45409.0</v>
      </c>
      <c r="I24" s="28">
        <v>-173186.0</v>
      </c>
      <c r="J24" s="29">
        <v>-44210.0</v>
      </c>
      <c r="K24" s="29">
        <v>-48844.0</v>
      </c>
      <c r="L24" s="29">
        <v>-49470.0</v>
      </c>
      <c r="M24" s="29">
        <v>-51016.0</v>
      </c>
      <c r="N24" s="28">
        <v>-193540.0</v>
      </c>
      <c r="O24" s="29">
        <v>-50212.0</v>
      </c>
      <c r="P24" s="29">
        <v>-52675.0</v>
      </c>
      <c r="Q24" s="29">
        <v>-52156.0</v>
      </c>
      <c r="R24" s="29">
        <v>-55459.0</v>
      </c>
      <c r="S24" s="28">
        <v>-210502.0</v>
      </c>
      <c r="T24" s="29">
        <v>-61960.0</v>
      </c>
      <c r="U24" s="1"/>
      <c r="V24" s="16">
        <f t="shared" ref="V24:X24" si="47">IFERROR(B24/B$4, "")</f>
        <v>-0.01640189999</v>
      </c>
      <c r="W24" s="16">
        <f t="shared" si="47"/>
        <v>-0.01625495571</v>
      </c>
      <c r="X24" s="16">
        <f t="shared" si="47"/>
        <v>-0.01720180696</v>
      </c>
      <c r="Y24" s="16">
        <f t="shared" si="4"/>
        <v>-0.01745606476</v>
      </c>
      <c r="Z24" s="16">
        <f t="shared" si="5"/>
        <v>-0.01830557042</v>
      </c>
      <c r="AA24" s="16">
        <f t="shared" si="6"/>
        <v>-0.01892740622</v>
      </c>
      <c r="AB24" s="16"/>
      <c r="AC24" s="16">
        <f t="shared" ref="AC24:AD24" si="48">IFERROR((C24/B24)-1, "")</f>
        <v>0.09311902318</v>
      </c>
      <c r="AD24" s="16">
        <f t="shared" si="48"/>
        <v>0.0399980865</v>
      </c>
      <c r="AE24" s="16">
        <f t="shared" si="8"/>
        <v>-0.004231782063</v>
      </c>
      <c r="AF24" s="16">
        <f t="shared" si="9"/>
        <v>0.1175268209</v>
      </c>
      <c r="AG24" s="16">
        <f t="shared" si="10"/>
        <v>0.08764079777</v>
      </c>
      <c r="AH24" s="16"/>
      <c r="AI24" s="22"/>
    </row>
    <row r="25">
      <c r="A25" s="18" t="s">
        <v>55</v>
      </c>
      <c r="B25" s="27">
        <v>8382575.0</v>
      </c>
      <c r="C25" s="27">
        <v>9248244.0</v>
      </c>
      <c r="D25" s="27">
        <v>9091713.0</v>
      </c>
      <c r="E25" s="26">
        <v>2209400.0</v>
      </c>
      <c r="F25" s="26">
        <v>2230222.0</v>
      </c>
      <c r="G25" s="26">
        <v>2248220.0</v>
      </c>
      <c r="H25" s="26">
        <v>2242183.0</v>
      </c>
      <c r="I25" s="27">
        <v>8930025.0</v>
      </c>
      <c r="J25" s="26">
        <v>2221328.0</v>
      </c>
      <c r="K25" s="26">
        <v>2457014.0</v>
      </c>
      <c r="L25" s="26">
        <v>2435916.0</v>
      </c>
      <c r="M25" s="26">
        <v>2399210.0</v>
      </c>
      <c r="N25" s="27">
        <v>9513468.0</v>
      </c>
      <c r="O25" s="26">
        <v>2387954.0</v>
      </c>
      <c r="P25" s="26">
        <v>2542296.0</v>
      </c>
      <c r="Q25" s="26">
        <v>2485949.0</v>
      </c>
      <c r="R25" s="26">
        <v>2652028.0</v>
      </c>
      <c r="S25" s="27">
        <v>1.0068227E7</v>
      </c>
      <c r="T25" s="26">
        <v>2873419.0</v>
      </c>
      <c r="U25" s="1"/>
      <c r="V25" s="16">
        <f t="shared" ref="V25:X25" si="49">IFERROR(B25/B$4, "")</f>
        <v>0.8987048367</v>
      </c>
      <c r="W25" s="16">
        <f t="shared" si="49"/>
        <v>0.8989242354</v>
      </c>
      <c r="X25" s="16">
        <f t="shared" si="49"/>
        <v>0.899218569</v>
      </c>
      <c r="Y25" s="16">
        <f t="shared" si="4"/>
        <v>0.9000906237</v>
      </c>
      <c r="Z25" s="16">
        <f t="shared" si="5"/>
        <v>0.8998111937</v>
      </c>
      <c r="AA25" s="16">
        <f t="shared" si="6"/>
        <v>0.9052903171</v>
      </c>
      <c r="AB25" s="16"/>
      <c r="AC25" s="16">
        <f t="shared" ref="AC25:AD25" si="50">IFERROR((C25/B25)-1, "")</f>
        <v>0.1032700572</v>
      </c>
      <c r="AD25" s="16">
        <f t="shared" si="50"/>
        <v>-0.01692548337</v>
      </c>
      <c r="AE25" s="16">
        <f t="shared" si="8"/>
        <v>-0.01778410735</v>
      </c>
      <c r="AF25" s="16">
        <f t="shared" si="9"/>
        <v>0.06533497947</v>
      </c>
      <c r="AG25" s="16">
        <f t="shared" si="10"/>
        <v>0.05831301477</v>
      </c>
      <c r="AH25" s="16"/>
      <c r="AI25" s="22"/>
    </row>
    <row r="26">
      <c r="A26" s="18" t="s">
        <v>56</v>
      </c>
      <c r="B26" s="27">
        <v>-2702146.0</v>
      </c>
      <c r="C26" s="27">
        <v>-2927557.0</v>
      </c>
      <c r="D26" s="27">
        <v>-3519399.0</v>
      </c>
      <c r="E26" s="26">
        <v>-851844.0</v>
      </c>
      <c r="F26" s="26">
        <v>-858964.0</v>
      </c>
      <c r="G26" s="26">
        <v>-902168.0</v>
      </c>
      <c r="H26" s="26">
        <v>-1072838.0</v>
      </c>
      <c r="I26" s="27">
        <v>-3685814.0</v>
      </c>
      <c r="J26" s="26">
        <v>-927082.0</v>
      </c>
      <c r="K26" s="26">
        <v>-729055.0</v>
      </c>
      <c r="L26" s="26">
        <v>-831060.0</v>
      </c>
      <c r="M26" s="26">
        <v>-908189.0</v>
      </c>
      <c r="N26" s="27">
        <v>-3395386.0</v>
      </c>
      <c r="O26" s="26">
        <v>-828481.0</v>
      </c>
      <c r="P26" s="26">
        <v>-844348.0</v>
      </c>
      <c r="Q26" s="26">
        <v>-840970.0</v>
      </c>
      <c r="R26" s="26">
        <v>-922021.0</v>
      </c>
      <c r="S26" s="27">
        <v>-3435820.0</v>
      </c>
      <c r="T26" s="26">
        <v>-918677.0</v>
      </c>
      <c r="U26" s="1"/>
      <c r="V26" s="16">
        <f t="shared" ref="V26:X26" si="51">IFERROR(B26/B$4, "")</f>
        <v>-0.2896999645</v>
      </c>
      <c r="W26" s="16">
        <f t="shared" si="51"/>
        <v>-0.2845569319</v>
      </c>
      <c r="X26" s="16">
        <f t="shared" si="51"/>
        <v>-0.3480872012</v>
      </c>
      <c r="Y26" s="16">
        <f t="shared" si="4"/>
        <v>-0.3715069803</v>
      </c>
      <c r="Z26" s="16">
        <f t="shared" si="5"/>
        <v>-0.3211453835</v>
      </c>
      <c r="AA26" s="16">
        <f t="shared" si="6"/>
        <v>-0.3089336958</v>
      </c>
      <c r="AB26" s="16"/>
      <c r="AC26" s="16">
        <f t="shared" ref="AC26:AD26" si="52">IFERROR((C26/B26)-1, "")</f>
        <v>0.0834192527</v>
      </c>
      <c r="AD26" s="16">
        <f t="shared" si="52"/>
        <v>0.2021624173</v>
      </c>
      <c r="AE26" s="16">
        <f t="shared" si="8"/>
        <v>0.04728506202</v>
      </c>
      <c r="AF26" s="16">
        <f t="shared" si="9"/>
        <v>-0.0787961628</v>
      </c>
      <c r="AG26" s="16">
        <f t="shared" si="10"/>
        <v>0.01190851349</v>
      </c>
      <c r="AH26" s="16"/>
      <c r="AI26" s="17"/>
    </row>
    <row r="27">
      <c r="A27" s="24" t="s">
        <v>57</v>
      </c>
      <c r="B27" s="28">
        <v>-852825.0</v>
      </c>
      <c r="C27" s="28">
        <v>-1000487.0</v>
      </c>
      <c r="D27" s="28">
        <v>-1283587.0</v>
      </c>
      <c r="E27" s="29">
        <v>-320239.0</v>
      </c>
      <c r="F27" s="29">
        <v>-324923.0</v>
      </c>
      <c r="G27" s="29">
        <v>-345781.0</v>
      </c>
      <c r="H27" s="29">
        <v>-357480.0</v>
      </c>
      <c r="I27" s="28">
        <v>-1348423.0</v>
      </c>
      <c r="J27" s="29">
        <v>-356779.0</v>
      </c>
      <c r="K27" s="29">
        <v>-347415.0</v>
      </c>
      <c r="L27" s="29">
        <v>-373723.0</v>
      </c>
      <c r="M27" s="29">
        <v>-406999.0</v>
      </c>
      <c r="N27" s="28">
        <v>-1484916.0</v>
      </c>
      <c r="O27" s="29">
        <v>-379182.0</v>
      </c>
      <c r="P27" s="29">
        <v>-376837.0</v>
      </c>
      <c r="Q27" s="29">
        <v>-401294.0</v>
      </c>
      <c r="R27" s="29">
        <v>-401832.0</v>
      </c>
      <c r="S27" s="28">
        <v>-1559145.0</v>
      </c>
      <c r="T27" s="29">
        <v>-413417.0</v>
      </c>
      <c r="U27" s="1"/>
      <c r="V27" s="16">
        <f t="shared" ref="V27:X27" si="53">IFERROR(B27/B$4, "")</f>
        <v>-0.09143228093</v>
      </c>
      <c r="W27" s="16">
        <f t="shared" si="53"/>
        <v>-0.09724678668</v>
      </c>
      <c r="X27" s="16">
        <f t="shared" si="53"/>
        <v>-0.1269535527</v>
      </c>
      <c r="Y27" s="16">
        <f t="shared" si="4"/>
        <v>-0.1359125981</v>
      </c>
      <c r="Z27" s="16">
        <f t="shared" si="5"/>
        <v>-0.1404476305</v>
      </c>
      <c r="AA27" s="16">
        <f t="shared" si="6"/>
        <v>-0.1401914033</v>
      </c>
      <c r="AB27" s="16"/>
      <c r="AC27" s="16">
        <f t="shared" ref="AC27:AD27" si="54">IFERROR((C27/B27)-1, "")</f>
        <v>0.173144549</v>
      </c>
      <c r="AD27" s="16">
        <f t="shared" si="54"/>
        <v>0.2829621974</v>
      </c>
      <c r="AE27" s="16">
        <f t="shared" si="8"/>
        <v>0.05051157421</v>
      </c>
      <c r="AF27" s="16">
        <f t="shared" si="9"/>
        <v>0.1012241708</v>
      </c>
      <c r="AG27" s="16">
        <f t="shared" si="10"/>
        <v>0.04998868623</v>
      </c>
      <c r="AH27" s="16"/>
      <c r="AI27" s="17"/>
    </row>
    <row r="28">
      <c r="A28" s="24" t="s">
        <v>58</v>
      </c>
      <c r="B28" s="28">
        <v>-266675.0</v>
      </c>
      <c r="C28" s="28">
        <v>-358449.0</v>
      </c>
      <c r="D28" s="28">
        <v>-507051.0</v>
      </c>
      <c r="E28" s="29">
        <v>-127791.0</v>
      </c>
      <c r="F28" s="29">
        <v>-123757.0</v>
      </c>
      <c r="G28" s="29">
        <v>-136521.0</v>
      </c>
      <c r="H28" s="29">
        <v>-170383.0</v>
      </c>
      <c r="I28" s="28">
        <v>-558452.0</v>
      </c>
      <c r="J28" s="29">
        <v>-145850.0</v>
      </c>
      <c r="K28" s="29">
        <v>-146245.0</v>
      </c>
      <c r="L28" s="29">
        <v>-163971.0</v>
      </c>
      <c r="M28" s="29">
        <v>-176982.0</v>
      </c>
      <c r="N28" s="28">
        <v>-633048.0</v>
      </c>
      <c r="O28" s="29">
        <v>-159580.0</v>
      </c>
      <c r="P28" s="29">
        <v>-174211.0</v>
      </c>
      <c r="Q28" s="29">
        <v>-176418.0</v>
      </c>
      <c r="R28" s="29">
        <v>-178035.0</v>
      </c>
      <c r="S28" s="28">
        <v>-688244.0</v>
      </c>
      <c r="T28" s="29">
        <v>-170444.0</v>
      </c>
      <c r="U28" s="1"/>
      <c r="V28" s="16">
        <f t="shared" ref="V28:X28" si="55">IFERROR(B28/B$4, "")</f>
        <v>-0.02859051214</v>
      </c>
      <c r="W28" s="16">
        <f t="shared" si="55"/>
        <v>-0.03484104585</v>
      </c>
      <c r="X28" s="16">
        <f t="shared" si="55"/>
        <v>-0.05015002944</v>
      </c>
      <c r="Y28" s="16">
        <f t="shared" si="4"/>
        <v>-0.05628846604</v>
      </c>
      <c r="Z28" s="16">
        <f t="shared" si="5"/>
        <v>-0.05987550245</v>
      </c>
      <c r="AA28" s="16">
        <f t="shared" si="6"/>
        <v>-0.06188384797</v>
      </c>
      <c r="AB28" s="16"/>
      <c r="AC28" s="16">
        <f t="shared" ref="AC28:AD28" si="56">IFERROR((C28/B28)-1, "")</f>
        <v>0.3441417456</v>
      </c>
      <c r="AD28" s="16">
        <f t="shared" si="56"/>
        <v>0.4145694367</v>
      </c>
      <c r="AE28" s="16">
        <f t="shared" si="8"/>
        <v>0.1013724458</v>
      </c>
      <c r="AF28" s="16">
        <f t="shared" si="9"/>
        <v>0.1335763862</v>
      </c>
      <c r="AG28" s="16">
        <f t="shared" si="10"/>
        <v>0.08719086072</v>
      </c>
      <c r="AH28" s="16"/>
      <c r="AI28" s="17"/>
    </row>
    <row r="29">
      <c r="A29" s="24" t="s">
        <v>59</v>
      </c>
      <c r="B29" s="28">
        <v>-1041301.0</v>
      </c>
      <c r="C29" s="28">
        <v>-1057150.0</v>
      </c>
      <c r="D29" s="28">
        <v>-1056304.0</v>
      </c>
      <c r="E29" s="29">
        <v>-259590.0</v>
      </c>
      <c r="F29" s="29">
        <v>-268942.0</v>
      </c>
      <c r="G29" s="29">
        <v>-281592.0</v>
      </c>
      <c r="H29" s="29">
        <v>-279911.0</v>
      </c>
      <c r="I29" s="28">
        <v>-1090035.0</v>
      </c>
      <c r="J29" s="29">
        <v>-279908.0</v>
      </c>
      <c r="K29" s="29">
        <v>-88815.0</v>
      </c>
      <c r="L29" s="29">
        <v>-99731.0</v>
      </c>
      <c r="M29" s="29">
        <v>-103295.0</v>
      </c>
      <c r="N29" s="28">
        <v>-571749.0</v>
      </c>
      <c r="O29" s="29">
        <v>-97527.0</v>
      </c>
      <c r="P29" s="29">
        <v>-96844.0</v>
      </c>
      <c r="Q29" s="29">
        <v>-95740.0</v>
      </c>
      <c r="R29" s="29">
        <v>-96912.0</v>
      </c>
      <c r="S29" s="28">
        <v>-387023.0</v>
      </c>
      <c r="T29" s="29">
        <v>-95679.0</v>
      </c>
      <c r="U29" s="1"/>
      <c r="V29" s="16">
        <f t="shared" ref="V29:X29" si="57">IFERROR(B29/B$4, "")</f>
        <v>-0.1116389946</v>
      </c>
      <c r="W29" s="16">
        <f t="shared" si="57"/>
        <v>-0.1027543991</v>
      </c>
      <c r="X29" s="16">
        <f t="shared" si="57"/>
        <v>-0.1044740602</v>
      </c>
      <c r="Y29" s="16">
        <f t="shared" si="4"/>
        <v>-0.1098687051</v>
      </c>
      <c r="Z29" s="16">
        <f t="shared" si="5"/>
        <v>-0.05407766654</v>
      </c>
      <c r="AA29" s="16">
        <f t="shared" si="6"/>
        <v>-0.03479939163</v>
      </c>
      <c r="AB29" s="16"/>
      <c r="AC29" s="16">
        <f t="shared" ref="AC29:AD29" si="58">IFERROR((C29/B29)-1, "")</f>
        <v>0.01522038296</v>
      </c>
      <c r="AD29" s="16">
        <f t="shared" si="58"/>
        <v>-0.0008002648631</v>
      </c>
      <c r="AE29" s="16">
        <f t="shared" si="8"/>
        <v>0.031933042</v>
      </c>
      <c r="AF29" s="16">
        <f t="shared" si="9"/>
        <v>-0.4754764755</v>
      </c>
      <c r="AG29" s="16">
        <f t="shared" si="10"/>
        <v>-0.3230893277</v>
      </c>
      <c r="AH29" s="16"/>
      <c r="AI29" s="22"/>
    </row>
    <row r="30">
      <c r="A30" s="24" t="s">
        <v>60</v>
      </c>
      <c r="B30" s="28">
        <v>-191789.0</v>
      </c>
      <c r="C30" s="28">
        <v>-257699.0</v>
      </c>
      <c r="D30" s="28">
        <v>-267375.0</v>
      </c>
      <c r="E30" s="29">
        <v>-63281.0</v>
      </c>
      <c r="F30" s="29">
        <v>-60770.0</v>
      </c>
      <c r="G30" s="29">
        <v>-59262.0</v>
      </c>
      <c r="H30" s="29">
        <v>-69269.0</v>
      </c>
      <c r="I30" s="28">
        <v>-252582.0</v>
      </c>
      <c r="J30" s="29">
        <v>-68595.0</v>
      </c>
      <c r="K30" s="29">
        <v>-68863.0</v>
      </c>
      <c r="L30" s="29">
        <v>-85309.0</v>
      </c>
      <c r="M30" s="29">
        <v>-97623.0</v>
      </c>
      <c r="N30" s="28">
        <v>-320390.0</v>
      </c>
      <c r="O30" s="29">
        <v>-101495.0</v>
      </c>
      <c r="P30" s="29">
        <v>-103225.0</v>
      </c>
      <c r="Q30" s="29">
        <v>-94038.0</v>
      </c>
      <c r="R30" s="29">
        <v>-120266.0</v>
      </c>
      <c r="S30" s="28">
        <v>-419024.0</v>
      </c>
      <c r="T30" s="29">
        <v>-135613.0</v>
      </c>
      <c r="U30" s="1"/>
      <c r="V30" s="16">
        <f t="shared" ref="V30:X30" si="59">IFERROR(B30/B$4, "")</f>
        <v>-0.02056190394</v>
      </c>
      <c r="W30" s="16">
        <f t="shared" si="59"/>
        <v>-0.02504820121</v>
      </c>
      <c r="X30" s="16">
        <f t="shared" si="59"/>
        <v>-0.02644480362</v>
      </c>
      <c r="Y30" s="16">
        <f t="shared" si="4"/>
        <v>-0.0254586846</v>
      </c>
      <c r="Z30" s="16">
        <f t="shared" si="5"/>
        <v>-0.03030340863</v>
      </c>
      <c r="AA30" s="16">
        <f t="shared" si="6"/>
        <v>-0.03767677962</v>
      </c>
      <c r="AB30" s="16"/>
      <c r="AC30" s="16">
        <f t="shared" ref="AC30:AD30" si="60">IFERROR((C30/B30)-1, "")</f>
        <v>0.3436589168</v>
      </c>
      <c r="AD30" s="16">
        <f t="shared" si="60"/>
        <v>0.0375476816</v>
      </c>
      <c r="AE30" s="16">
        <f t="shared" si="8"/>
        <v>-0.05532678822</v>
      </c>
      <c r="AF30" s="16">
        <f t="shared" si="9"/>
        <v>0.2684593518</v>
      </c>
      <c r="AG30" s="16">
        <f t="shared" si="10"/>
        <v>0.3078560504</v>
      </c>
      <c r="AH30" s="16"/>
      <c r="AI30" s="22"/>
    </row>
    <row r="31">
      <c r="A31" s="24" t="s">
        <v>61</v>
      </c>
      <c r="B31" s="28">
        <v>-78558.0</v>
      </c>
      <c r="C31" s="28">
        <v>-75730.0</v>
      </c>
      <c r="D31" s="28">
        <v>-153236.0</v>
      </c>
      <c r="E31" s="29">
        <v>-33571.0</v>
      </c>
      <c r="F31" s="29">
        <v>-13391.0</v>
      </c>
      <c r="G31" s="29">
        <v>-22318.0</v>
      </c>
      <c r="H31" s="29">
        <v>-47717.0</v>
      </c>
      <c r="I31" s="28">
        <v>-116997.0</v>
      </c>
      <c r="J31" s="29">
        <v>-20796.0</v>
      </c>
      <c r="K31" s="29">
        <v>-17039.0</v>
      </c>
      <c r="L31" s="29">
        <v>-36725.0</v>
      </c>
      <c r="M31" s="29">
        <v>-40633.0</v>
      </c>
      <c r="N31" s="28">
        <v>-115193.0</v>
      </c>
      <c r="O31" s="29">
        <v>-27182.0</v>
      </c>
      <c r="P31" s="29">
        <v>-19733.0</v>
      </c>
      <c r="Q31" s="29">
        <v>-25592.0</v>
      </c>
      <c r="R31" s="29">
        <v>-37321.0</v>
      </c>
      <c r="S31" s="28">
        <v>-109828.0</v>
      </c>
      <c r="T31" s="29">
        <v>-17052.0</v>
      </c>
      <c r="U31" s="1"/>
      <c r="V31" s="16">
        <f t="shared" ref="V31:X31" si="61">IFERROR(B31/B$4, "")</f>
        <v>-0.008422287252</v>
      </c>
      <c r="W31" s="16">
        <f t="shared" si="61"/>
        <v>-0.00736091439</v>
      </c>
      <c r="X31" s="16">
        <f t="shared" si="61"/>
        <v>-0.015155852</v>
      </c>
      <c r="Y31" s="16">
        <f t="shared" si="4"/>
        <v>-0.01179256527</v>
      </c>
      <c r="Z31" s="16">
        <f t="shared" si="5"/>
        <v>-0.01089528559</v>
      </c>
      <c r="AA31" s="16">
        <f t="shared" si="6"/>
        <v>-0.00987524665</v>
      </c>
      <c r="AB31" s="16"/>
      <c r="AC31" s="16">
        <f t="shared" ref="AC31:AD31" si="62">IFERROR((C31/B31)-1, "")</f>
        <v>-0.03599887981</v>
      </c>
      <c r="AD31" s="16">
        <f t="shared" si="62"/>
        <v>1.023451736</v>
      </c>
      <c r="AE31" s="16">
        <f t="shared" si="8"/>
        <v>-0.236491425</v>
      </c>
      <c r="AF31" s="16">
        <f t="shared" si="9"/>
        <v>-0.01541919878</v>
      </c>
      <c r="AG31" s="16">
        <f t="shared" si="10"/>
        <v>-0.04657401057</v>
      </c>
      <c r="AH31" s="16"/>
      <c r="AI31" s="22"/>
    </row>
    <row r="32">
      <c r="A32" s="24" t="s">
        <v>62</v>
      </c>
      <c r="B32" s="28">
        <v>-23011.0</v>
      </c>
      <c r="C32" s="28">
        <v>-22879.0</v>
      </c>
      <c r="D32" s="28">
        <v>-28132.0</v>
      </c>
      <c r="E32" s="29">
        <v>-6735.0</v>
      </c>
      <c r="F32" s="29">
        <v>-6887.0</v>
      </c>
      <c r="G32" s="29">
        <v>-8729.0</v>
      </c>
      <c r="H32" s="29">
        <v>-8232.0</v>
      </c>
      <c r="I32" s="28">
        <v>-30583.0</v>
      </c>
      <c r="J32" s="29">
        <v>-6932.0</v>
      </c>
      <c r="K32" s="29">
        <v>-7302.0</v>
      </c>
      <c r="L32" s="29">
        <v>-8503.0</v>
      </c>
      <c r="M32" s="29">
        <v>-9550.0</v>
      </c>
      <c r="N32" s="28">
        <v>-32287.0</v>
      </c>
      <c r="O32" s="29">
        <v>-7561.0</v>
      </c>
      <c r="P32" s="29">
        <v>-8272.0</v>
      </c>
      <c r="Q32" s="29">
        <v>-8989.0</v>
      </c>
      <c r="R32" s="29">
        <v>-10342.0</v>
      </c>
      <c r="S32" s="28">
        <v>-35164.0</v>
      </c>
      <c r="T32" s="29">
        <v>-8067.0</v>
      </c>
      <c r="U32" s="1"/>
      <c r="V32" s="16">
        <f t="shared" ref="V32:X32" si="63">IFERROR(B32/B$4, "")</f>
        <v>-0.002467033936</v>
      </c>
      <c r="W32" s="16">
        <f t="shared" si="63"/>
        <v>-0.002223826229</v>
      </c>
      <c r="X32" s="16">
        <f t="shared" si="63"/>
        <v>-0.002782403798</v>
      </c>
      <c r="Y32" s="16">
        <f t="shared" si="4"/>
        <v>-0.00308257497</v>
      </c>
      <c r="Z32" s="16">
        <f t="shared" si="5"/>
        <v>-0.003053797417</v>
      </c>
      <c r="AA32" s="16">
        <f t="shared" si="6"/>
        <v>-0.00316179092</v>
      </c>
      <c r="AB32" s="16"/>
      <c r="AC32" s="16">
        <f t="shared" ref="AC32:AD32" si="64">IFERROR((C32/B32)-1, "")</f>
        <v>-0.005736386945</v>
      </c>
      <c r="AD32" s="16">
        <f t="shared" si="64"/>
        <v>0.2295991958</v>
      </c>
      <c r="AE32" s="16">
        <f t="shared" si="8"/>
        <v>0.08712498223</v>
      </c>
      <c r="AF32" s="16">
        <f t="shared" si="9"/>
        <v>0.05571722853</v>
      </c>
      <c r="AG32" s="16">
        <f t="shared" si="10"/>
        <v>0.08910707096</v>
      </c>
      <c r="AH32" s="16"/>
      <c r="AI32" s="22"/>
    </row>
    <row r="33">
      <c r="A33" s="24" t="s">
        <v>63</v>
      </c>
      <c r="B33" s="28">
        <v>0.0</v>
      </c>
      <c r="C33" s="28">
        <v>0.0</v>
      </c>
      <c r="D33" s="28">
        <v>0.0</v>
      </c>
      <c r="E33" s="29">
        <v>0.0</v>
      </c>
      <c r="F33" s="29">
        <v>0.0</v>
      </c>
      <c r="G33" s="29">
        <v>0.0</v>
      </c>
      <c r="H33" s="29">
        <v>0.0</v>
      </c>
      <c r="I33" s="28">
        <v>0.0</v>
      </c>
      <c r="J33" s="29">
        <v>0.0</v>
      </c>
      <c r="K33" s="29">
        <v>0.0</v>
      </c>
      <c r="L33" s="29">
        <v>0.0</v>
      </c>
      <c r="M33" s="29">
        <v>0.0</v>
      </c>
      <c r="N33" s="28">
        <v>0.0</v>
      </c>
      <c r="O33" s="29">
        <v>0.0</v>
      </c>
      <c r="P33" s="29">
        <v>0.0</v>
      </c>
      <c r="Q33" s="29">
        <v>0.0</v>
      </c>
      <c r="R33" s="29">
        <v>0.0</v>
      </c>
      <c r="S33" s="28">
        <v>0.0</v>
      </c>
      <c r="T33" s="29">
        <v>0.0</v>
      </c>
      <c r="U33" s="1"/>
      <c r="V33" s="16"/>
      <c r="W33" s="16"/>
      <c r="X33" s="16"/>
      <c r="Y33" s="16"/>
      <c r="Z33" s="16"/>
      <c r="AA33" s="16"/>
      <c r="AB33" s="16"/>
      <c r="AC33" s="16" t="str">
        <f t="shared" ref="AC33:AD33" si="65">IFERROR((C33/B33)-1, "")</f>
        <v/>
      </c>
      <c r="AD33" s="16" t="str">
        <f t="shared" si="65"/>
        <v/>
      </c>
      <c r="AE33" s="16" t="str">
        <f t="shared" si="8"/>
        <v/>
      </c>
      <c r="AF33" s="16" t="str">
        <f t="shared" si="9"/>
        <v/>
      </c>
      <c r="AG33" s="16" t="str">
        <f t="shared" si="10"/>
        <v/>
      </c>
      <c r="AH33" s="16"/>
      <c r="AI33" s="22"/>
    </row>
    <row r="34">
      <c r="A34" s="24" t="s">
        <v>64</v>
      </c>
      <c r="B34" s="28">
        <v>-21819.0</v>
      </c>
      <c r="C34" s="28">
        <v>-23472.0</v>
      </c>
      <c r="D34" s="28">
        <v>-43827.0</v>
      </c>
      <c r="E34" s="29">
        <v>-5144.0</v>
      </c>
      <c r="F34" s="29">
        <v>-7583.0</v>
      </c>
      <c r="G34" s="29">
        <v>-12306.0</v>
      </c>
      <c r="H34" s="29">
        <v>-19706.0</v>
      </c>
      <c r="I34" s="28">
        <v>-44739.0</v>
      </c>
      <c r="J34" s="29">
        <v>-5698.0</v>
      </c>
      <c r="K34" s="29">
        <v>-9227.0</v>
      </c>
      <c r="L34" s="29">
        <v>-12466.0</v>
      </c>
      <c r="M34" s="29">
        <v>-20575.0</v>
      </c>
      <c r="N34" s="28">
        <v>-47966.0</v>
      </c>
      <c r="O34" s="29">
        <v>-8007.0</v>
      </c>
      <c r="P34" s="29">
        <v>-11948.0</v>
      </c>
      <c r="Q34" s="29">
        <v>-13505.0</v>
      </c>
      <c r="R34" s="29">
        <v>-24388.0</v>
      </c>
      <c r="S34" s="28">
        <v>-57848.0</v>
      </c>
      <c r="T34" s="29">
        <v>-10186.0</v>
      </c>
      <c r="U34" s="1"/>
      <c r="V34" s="16">
        <f t="shared" ref="V34:X34" si="66">IFERROR(B34/B$4, "")</f>
        <v>-0.00233923834</v>
      </c>
      <c r="W34" s="16">
        <f t="shared" si="66"/>
        <v>-0.002281465503</v>
      </c>
      <c r="X34" s="16">
        <f t="shared" si="66"/>
        <v>-0.004334722425</v>
      </c>
      <c r="Y34" s="16">
        <f t="shared" ref="Y34:Y36" si="69">IFERROR(I34/I$4, "")</f>
        <v>-0.004509411162</v>
      </c>
      <c r="Z34" s="16">
        <f t="shared" ref="Z34:Z36" si="70">IFERROR(N34/N$4, "")</f>
        <v>-0.004536762379</v>
      </c>
      <c r="AA34" s="16">
        <f t="shared" ref="AA34:AA36" si="71">IFERROR(S34/S$4, "")</f>
        <v>-0.005201435592</v>
      </c>
      <c r="AB34" s="16"/>
      <c r="AC34" s="16">
        <f t="shared" ref="AC34:AD34" si="67">IFERROR((C34/B34)-1, "")</f>
        <v>0.07575965901</v>
      </c>
      <c r="AD34" s="16">
        <f t="shared" si="67"/>
        <v>0.8672034765</v>
      </c>
      <c r="AE34" s="16">
        <f t="shared" si="8"/>
        <v>0.02080909029</v>
      </c>
      <c r="AF34" s="16">
        <f t="shared" si="9"/>
        <v>0.07212946199</v>
      </c>
      <c r="AG34" s="16">
        <f t="shared" si="10"/>
        <v>0.2060209315</v>
      </c>
      <c r="AH34" s="16"/>
      <c r="AI34" s="22"/>
    </row>
    <row r="35">
      <c r="A35" s="24" t="s">
        <v>65</v>
      </c>
      <c r="B35" s="28">
        <v>-11073.0</v>
      </c>
      <c r="C35" s="28">
        <v>-13018.0</v>
      </c>
      <c r="D35" s="28">
        <v>-14898.0</v>
      </c>
      <c r="E35" s="29">
        <v>-3278.0</v>
      </c>
      <c r="F35" s="29">
        <v>-4194.0</v>
      </c>
      <c r="G35" s="29">
        <v>-3327.0</v>
      </c>
      <c r="H35" s="29">
        <v>-3284.0</v>
      </c>
      <c r="I35" s="28">
        <v>-14083.0</v>
      </c>
      <c r="J35" s="29">
        <v>-3266.0</v>
      </c>
      <c r="K35" s="29">
        <v>-4062.0</v>
      </c>
      <c r="L35" s="29">
        <v>-2691.0</v>
      </c>
      <c r="M35" s="29">
        <v>-4248.0</v>
      </c>
      <c r="N35" s="28">
        <v>-14267.0</v>
      </c>
      <c r="O35" s="29">
        <v>-3903.0</v>
      </c>
      <c r="P35" s="29">
        <v>-3592.0</v>
      </c>
      <c r="Q35" s="29">
        <v>-3383.0</v>
      </c>
      <c r="R35" s="29">
        <v>-2481.0</v>
      </c>
      <c r="S35" s="28">
        <v>-13359.0</v>
      </c>
      <c r="T35" s="29">
        <v>-4703.0</v>
      </c>
      <c r="U35" s="1"/>
      <c r="V35" s="16">
        <f t="shared" ref="V35:X35" si="68">IFERROR(B35/B$4, "")</f>
        <v>-0.00118714818</v>
      </c>
      <c r="W35" s="16">
        <f t="shared" si="68"/>
        <v>-0.001265342447</v>
      </c>
      <c r="X35" s="16">
        <f t="shared" si="68"/>
        <v>-0.001473491106</v>
      </c>
      <c r="Y35" s="16">
        <f t="shared" si="69"/>
        <v>-0.001419478249</v>
      </c>
      <c r="Z35" s="16">
        <f t="shared" si="70"/>
        <v>-0.001349413936</v>
      </c>
      <c r="AA35" s="16">
        <f t="shared" si="71"/>
        <v>-0.00120118203</v>
      </c>
      <c r="AB35" s="16"/>
      <c r="AC35" s="16">
        <f t="shared" ref="AC35:AD35" si="72">IFERROR((C35/B35)-1, "")</f>
        <v>0.175652488</v>
      </c>
      <c r="AD35" s="16">
        <f t="shared" si="72"/>
        <v>0.1444154248</v>
      </c>
      <c r="AE35" s="16">
        <f t="shared" si="8"/>
        <v>-0.05470532957</v>
      </c>
      <c r="AF35" s="16">
        <f t="shared" si="9"/>
        <v>0.013065398</v>
      </c>
      <c r="AG35" s="16">
        <f t="shared" si="10"/>
        <v>-0.06364337282</v>
      </c>
      <c r="AH35" s="16"/>
      <c r="AI35" s="22"/>
    </row>
    <row r="36">
      <c r="A36" s="19" t="s">
        <v>66</v>
      </c>
      <c r="B36" s="28">
        <v>-13102.0</v>
      </c>
      <c r="C36" s="28">
        <v>-13684.0</v>
      </c>
      <c r="D36" s="28">
        <v>-14915.0</v>
      </c>
      <c r="E36" s="29">
        <v>-3829.0</v>
      </c>
      <c r="F36" s="29">
        <v>-3842.0</v>
      </c>
      <c r="G36" s="29">
        <v>-4069.0</v>
      </c>
      <c r="H36" s="29">
        <v>-4071.0</v>
      </c>
      <c r="I36" s="28">
        <v>-15811.0</v>
      </c>
      <c r="J36" s="29">
        <v>-4188.0</v>
      </c>
      <c r="K36" s="29">
        <v>-4294.0</v>
      </c>
      <c r="L36" s="29">
        <v>-4229.0</v>
      </c>
      <c r="M36" s="29">
        <v>-4288.0</v>
      </c>
      <c r="N36" s="28">
        <v>-16999.0</v>
      </c>
      <c r="O36" s="29">
        <v>-4261.0</v>
      </c>
      <c r="P36" s="29">
        <v>-4713.0</v>
      </c>
      <c r="Q36" s="29">
        <v>-4854.0</v>
      </c>
      <c r="R36" s="29">
        <v>-4826.0</v>
      </c>
      <c r="S36" s="28">
        <v>-18654.0</v>
      </c>
      <c r="T36" s="29">
        <v>-4789.0</v>
      </c>
      <c r="U36" s="1"/>
      <c r="V36" s="16">
        <f t="shared" ref="V36:X36" si="73">IFERROR(B36/B$4, "")</f>
        <v>-0.001404679442</v>
      </c>
      <c r="W36" s="16">
        <f t="shared" si="73"/>
        <v>-0.001330077281</v>
      </c>
      <c r="X36" s="16">
        <f t="shared" si="73"/>
        <v>-0.001475172496</v>
      </c>
      <c r="Y36" s="16">
        <f t="shared" si="69"/>
        <v>-0.001593649833</v>
      </c>
      <c r="Z36" s="16">
        <f t="shared" si="70"/>
        <v>-0.001607814362</v>
      </c>
      <c r="AA36" s="16">
        <f t="shared" si="71"/>
        <v>-0.001677284946</v>
      </c>
      <c r="AB36" s="16"/>
      <c r="AC36" s="16">
        <f t="shared" ref="AC36:AD36" si="74">IFERROR((C36/B36)-1, "")</f>
        <v>0.04442069913</v>
      </c>
      <c r="AD36" s="16">
        <f t="shared" si="74"/>
        <v>0.08995907629</v>
      </c>
      <c r="AE36" s="16">
        <f t="shared" si="8"/>
        <v>0.06007375126</v>
      </c>
      <c r="AF36" s="16">
        <f t="shared" si="9"/>
        <v>0.07513756246</v>
      </c>
      <c r="AG36" s="16">
        <f t="shared" si="10"/>
        <v>0.09735866816</v>
      </c>
      <c r="AH36" s="16"/>
      <c r="AI36" s="22"/>
    </row>
    <row r="37">
      <c r="A37" s="24" t="s">
        <v>67</v>
      </c>
      <c r="B37" s="28">
        <v>0.0</v>
      </c>
      <c r="C37" s="28">
        <v>0.0</v>
      </c>
      <c r="D37" s="28">
        <v>0.0</v>
      </c>
      <c r="E37" s="29">
        <v>0.0</v>
      </c>
      <c r="F37" s="29">
        <v>0.0</v>
      </c>
      <c r="G37" s="29">
        <v>0.0</v>
      </c>
      <c r="H37" s="29">
        <v>0.0</v>
      </c>
      <c r="I37" s="28">
        <v>0.0</v>
      </c>
      <c r="J37" s="29">
        <v>0.0</v>
      </c>
      <c r="K37" s="29">
        <v>0.0</v>
      </c>
      <c r="L37" s="29">
        <v>0.0</v>
      </c>
      <c r="M37" s="29">
        <v>0.0</v>
      </c>
      <c r="N37" s="28">
        <v>0.0</v>
      </c>
      <c r="O37" s="29">
        <v>0.0</v>
      </c>
      <c r="P37" s="29"/>
      <c r="Q37" s="29">
        <v>0.0</v>
      </c>
      <c r="R37" s="29">
        <v>0.0</v>
      </c>
      <c r="S37" s="28">
        <v>0.0</v>
      </c>
      <c r="T37" s="29">
        <v>0.0</v>
      </c>
      <c r="U37" s="1"/>
      <c r="V37" s="16"/>
      <c r="W37" s="16"/>
      <c r="X37" s="16"/>
      <c r="Y37" s="16"/>
      <c r="Z37" s="16"/>
      <c r="AA37" s="16"/>
      <c r="AB37" s="16"/>
      <c r="AC37" s="16" t="str">
        <f t="shared" ref="AC37:AD37" si="75">IFERROR((C37/B37)-1, "")</f>
        <v/>
      </c>
      <c r="AD37" s="16" t="str">
        <f t="shared" si="75"/>
        <v/>
      </c>
      <c r="AE37" s="16" t="str">
        <f t="shared" si="8"/>
        <v/>
      </c>
      <c r="AF37" s="16" t="str">
        <f t="shared" si="9"/>
        <v/>
      </c>
      <c r="AG37" s="16" t="str">
        <f t="shared" si="10"/>
        <v/>
      </c>
      <c r="AH37" s="16"/>
      <c r="AI37" s="22"/>
    </row>
    <row r="38">
      <c r="A38" s="24" t="s">
        <v>68</v>
      </c>
      <c r="B38" s="28">
        <v>-201993.0</v>
      </c>
      <c r="C38" s="28">
        <v>-104989.0</v>
      </c>
      <c r="D38" s="28">
        <v>-150074.0</v>
      </c>
      <c r="E38" s="29">
        <v>-28386.0</v>
      </c>
      <c r="F38" s="29">
        <v>-44675.0</v>
      </c>
      <c r="G38" s="29">
        <v>-28263.0</v>
      </c>
      <c r="H38" s="29">
        <v>-112785.0</v>
      </c>
      <c r="I38" s="28">
        <v>-214109.0</v>
      </c>
      <c r="J38" s="29">
        <v>-35070.0</v>
      </c>
      <c r="K38" s="29">
        <v>-35793.0</v>
      </c>
      <c r="L38" s="29">
        <v>-43712.0</v>
      </c>
      <c r="M38" s="29">
        <v>-43996.0</v>
      </c>
      <c r="N38" s="28">
        <v>-158571.0</v>
      </c>
      <c r="O38" s="29">
        <v>-39783.0</v>
      </c>
      <c r="P38" s="29">
        <v>-44973.0</v>
      </c>
      <c r="Q38" s="29">
        <v>-17157.0</v>
      </c>
      <c r="R38" s="29">
        <v>-45618.0</v>
      </c>
      <c r="S38" s="28">
        <v>-147531.0</v>
      </c>
      <c r="T38" s="29">
        <v>-58727.0</v>
      </c>
      <c r="U38" s="1"/>
      <c r="V38" s="16">
        <f t="shared" ref="V38:X38" si="76">IFERROR(B38/B$4, "")</f>
        <v>-0.0216558857</v>
      </c>
      <c r="W38" s="16">
        <f t="shared" si="76"/>
        <v>-0.01020487311</v>
      </c>
      <c r="X38" s="16">
        <f t="shared" si="76"/>
        <v>-0.01484311345</v>
      </c>
      <c r="Y38" s="16">
        <f t="shared" ref="Y38:Y42" si="79">IFERROR(I38/I$4, "")</f>
        <v>-0.02158084701</v>
      </c>
      <c r="Z38" s="16">
        <f t="shared" ref="Z38:Z42" si="80">IFERROR(N38/N$4, "")</f>
        <v>-0.01499810172</v>
      </c>
      <c r="AA38" s="16">
        <f t="shared" ref="AA38:AA42" si="81">IFERROR(S38/S$4, "")</f>
        <v>-0.01326533319</v>
      </c>
      <c r="AB38" s="16"/>
      <c r="AC38" s="16">
        <f t="shared" ref="AC38:AD38" si="77">IFERROR((C38/B38)-1, "")</f>
        <v>-0.4802344636</v>
      </c>
      <c r="AD38" s="16">
        <f t="shared" si="77"/>
        <v>0.4294259399</v>
      </c>
      <c r="AE38" s="16">
        <f t="shared" si="8"/>
        <v>0.4266894998</v>
      </c>
      <c r="AF38" s="16">
        <f t="shared" si="9"/>
        <v>-0.2593912446</v>
      </c>
      <c r="AG38" s="16">
        <f t="shared" si="10"/>
        <v>-0.06962180979</v>
      </c>
      <c r="AH38" s="16"/>
      <c r="AI38" s="22"/>
    </row>
    <row r="39">
      <c r="A39" s="18" t="s">
        <v>69</v>
      </c>
      <c r="B39" s="27">
        <v>5680429.0</v>
      </c>
      <c r="C39" s="27">
        <v>6320687.0</v>
      </c>
      <c r="D39" s="14">
        <v>5572314.0</v>
      </c>
      <c r="E39" s="30">
        <v>1357556.0</v>
      </c>
      <c r="F39" s="30">
        <v>1371258.0</v>
      </c>
      <c r="G39" s="30">
        <v>1346052.0</v>
      </c>
      <c r="H39" s="30">
        <v>1169345.0</v>
      </c>
      <c r="I39" s="14">
        <v>5244211.0</v>
      </c>
      <c r="J39" s="30">
        <v>1294246.0</v>
      </c>
      <c r="K39" s="30">
        <v>1727959.0</v>
      </c>
      <c r="L39" s="30">
        <v>1604856.0</v>
      </c>
      <c r="M39" s="30">
        <v>1491021.0</v>
      </c>
      <c r="N39" s="14">
        <v>6118082.0</v>
      </c>
      <c r="O39" s="30">
        <v>1559473.0</v>
      </c>
      <c r="P39" s="30">
        <v>1697948.0</v>
      </c>
      <c r="Q39" s="30">
        <v>1644979.0</v>
      </c>
      <c r="R39" s="30">
        <v>1730007.0</v>
      </c>
      <c r="S39" s="14">
        <v>6632407.0</v>
      </c>
      <c r="T39" s="30">
        <v>1954742.0</v>
      </c>
      <c r="U39" s="31"/>
      <c r="V39" s="32">
        <f t="shared" ref="V39:X39" si="78">IFERROR(B39/B$4, "")</f>
        <v>0.6090048722</v>
      </c>
      <c r="W39" s="16">
        <f t="shared" si="78"/>
        <v>0.6143673035</v>
      </c>
      <c r="X39" s="16">
        <f t="shared" si="78"/>
        <v>0.5511313678</v>
      </c>
      <c r="Y39" s="16">
        <f t="shared" si="79"/>
        <v>0.5285836433</v>
      </c>
      <c r="Z39" s="16">
        <f t="shared" si="80"/>
        <v>0.5786658101</v>
      </c>
      <c r="AA39" s="16">
        <f t="shared" si="81"/>
        <v>0.5963566213</v>
      </c>
      <c r="AB39" s="16"/>
      <c r="AC39" s="16">
        <f t="shared" ref="AC39:AD39" si="82">IFERROR((C39/B39)-1, "")</f>
        <v>0.1127129659</v>
      </c>
      <c r="AD39" s="16">
        <f t="shared" si="82"/>
        <v>-0.1184005789</v>
      </c>
      <c r="AE39" s="16">
        <f t="shared" si="8"/>
        <v>-0.05888092451</v>
      </c>
      <c r="AF39" s="16">
        <f t="shared" si="9"/>
        <v>0.1666353623</v>
      </c>
      <c r="AG39" s="16">
        <f t="shared" si="10"/>
        <v>0.08406637897</v>
      </c>
      <c r="AH39" s="16"/>
      <c r="AI39" s="17"/>
    </row>
    <row r="40">
      <c r="A40" s="33" t="s">
        <v>70</v>
      </c>
      <c r="B40" s="34">
        <v>0.6776472623269103</v>
      </c>
      <c r="C40" s="34">
        <v>0.6834472576631845</v>
      </c>
      <c r="D40" s="34">
        <v>0.6129003412228257</v>
      </c>
      <c r="E40" s="35">
        <v>0.6144455508282791</v>
      </c>
      <c r="F40" s="35">
        <v>0.6148526917948078</v>
      </c>
      <c r="G40" s="35">
        <v>0.5987189865760468</v>
      </c>
      <c r="H40" s="35">
        <v>0.5215207679301823</v>
      </c>
      <c r="I40" s="34">
        <v>0.5872560267188501</v>
      </c>
      <c r="J40" s="35">
        <v>0.5826451564109397</v>
      </c>
      <c r="K40" s="35">
        <v>0.7032760090093096</v>
      </c>
      <c r="L40" s="35">
        <v>0.6588306000699532</v>
      </c>
      <c r="M40" s="35">
        <v>0.6214633150078568</v>
      </c>
      <c r="N40" s="34">
        <v>0.6430969232250532</v>
      </c>
      <c r="O40" s="35">
        <v>0.6530582247396726</v>
      </c>
      <c r="P40" s="35">
        <v>0.6678797433501056</v>
      </c>
      <c r="Q40" s="35">
        <v>0.6617106786985574</v>
      </c>
      <c r="R40" s="35">
        <v>0.6523336103540385</v>
      </c>
      <c r="S40" s="34">
        <v>0.658746271811313</v>
      </c>
      <c r="T40" s="35">
        <v>0.6802843581113649</v>
      </c>
      <c r="U40" s="1"/>
      <c r="V40" s="16">
        <f t="shared" ref="V40:X40" si="83">IFERROR(B40/B$4, "")</f>
        <v>0.0000000726512882</v>
      </c>
      <c r="W40" s="16">
        <f t="shared" si="83"/>
        <v>0.00000006643069793</v>
      </c>
      <c r="X40" s="16">
        <f t="shared" si="83"/>
        <v>0.00000006061908991</v>
      </c>
      <c r="Y40" s="16">
        <f t="shared" si="79"/>
        <v>0.00000005919173164</v>
      </c>
      <c r="Z40" s="16">
        <f t="shared" si="80"/>
        <v>0.00000006082595854</v>
      </c>
      <c r="AA40" s="16">
        <f t="shared" si="81"/>
        <v>0.00000005923154308</v>
      </c>
      <c r="AB40" s="16"/>
      <c r="AC40" s="16">
        <f t="shared" ref="AC40:AD40" si="84">IFERROR((C40/B40)-1, "")</f>
        <v>0.008559018325</v>
      </c>
      <c r="AD40" s="16">
        <f t="shared" si="84"/>
        <v>-0.1032221809</v>
      </c>
      <c r="AE40" s="16">
        <f t="shared" si="8"/>
        <v>-0.04184092059</v>
      </c>
      <c r="AF40" s="16">
        <f t="shared" si="9"/>
        <v>0.09508782195</v>
      </c>
      <c r="AG40" s="16">
        <f t="shared" si="10"/>
        <v>0.02433435462</v>
      </c>
      <c r="AH40" s="16"/>
      <c r="AI40" s="22"/>
    </row>
    <row r="41">
      <c r="A41" s="18" t="s">
        <v>71</v>
      </c>
      <c r="B41" s="27">
        <v>-80385.0</v>
      </c>
      <c r="C41" s="27">
        <v>-4114.0</v>
      </c>
      <c r="D41" s="14">
        <v>0.0</v>
      </c>
      <c r="E41" s="26">
        <v>0.0</v>
      </c>
      <c r="F41" s="26">
        <v>0.0</v>
      </c>
      <c r="G41" s="26">
        <v>0.0</v>
      </c>
      <c r="H41" s="26">
        <v>0.0</v>
      </c>
      <c r="I41" s="14">
        <v>0.0</v>
      </c>
      <c r="J41" s="26">
        <v>-67595.0</v>
      </c>
      <c r="K41" s="26">
        <v>0.0</v>
      </c>
      <c r="L41" s="26">
        <v>0.0</v>
      </c>
      <c r="M41" s="26">
        <v>0.0</v>
      </c>
      <c r="N41" s="27">
        <v>-67595.0</v>
      </c>
      <c r="O41" s="26">
        <v>0.0</v>
      </c>
      <c r="P41" s="26">
        <v>0.0</v>
      </c>
      <c r="Q41" s="26">
        <v>0.0</v>
      </c>
      <c r="R41" s="26">
        <v>0.0</v>
      </c>
      <c r="S41" s="27">
        <v>0.0</v>
      </c>
      <c r="T41" s="26">
        <v>0.0</v>
      </c>
      <c r="U41" s="1"/>
      <c r="V41" s="16">
        <f t="shared" ref="V41:X41" si="85">IFERROR(B41/B$4, "")</f>
        <v>-0.008618161877</v>
      </c>
      <c r="W41" s="16">
        <f t="shared" si="85"/>
        <v>-0.0003998785396</v>
      </c>
      <c r="X41" s="16">
        <f t="shared" si="85"/>
        <v>0</v>
      </c>
      <c r="Y41" s="16">
        <f t="shared" si="79"/>
        <v>0</v>
      </c>
      <c r="Z41" s="16">
        <f t="shared" si="80"/>
        <v>-0.006393329713</v>
      </c>
      <c r="AA41" s="16">
        <f t="shared" si="81"/>
        <v>0</v>
      </c>
      <c r="AB41" s="16"/>
      <c r="AC41" s="16">
        <f t="shared" ref="AC41:AD41" si="86">IFERROR((C41/B41)-1, "")</f>
        <v>-0.9488212975</v>
      </c>
      <c r="AD41" s="16">
        <f t="shared" si="86"/>
        <v>-1</v>
      </c>
      <c r="AE41" s="16" t="str">
        <f t="shared" si="8"/>
        <v/>
      </c>
      <c r="AF41" s="16" t="str">
        <f t="shared" si="9"/>
        <v/>
      </c>
      <c r="AG41" s="16">
        <f t="shared" si="10"/>
        <v>-1</v>
      </c>
      <c r="AH41" s="16"/>
      <c r="AI41" s="22"/>
    </row>
    <row r="42">
      <c r="A42" s="18" t="s">
        <v>72</v>
      </c>
      <c r="B42" s="27">
        <v>2365.0</v>
      </c>
      <c r="C42" s="27">
        <v>4411.0</v>
      </c>
      <c r="D42" s="14">
        <v>5560.0</v>
      </c>
      <c r="E42" s="26">
        <v>-580.9777900000215</v>
      </c>
      <c r="F42" s="26">
        <v>3057.0</v>
      </c>
      <c r="G42" s="26">
        <v>1154.0</v>
      </c>
      <c r="H42" s="26">
        <v>1782.0</v>
      </c>
      <c r="I42" s="14">
        <v>5412.022209999978</v>
      </c>
      <c r="J42" s="26">
        <v>-2995.0</v>
      </c>
      <c r="K42" s="26">
        <v>210.0</v>
      </c>
      <c r="L42" s="26">
        <v>-641.0</v>
      </c>
      <c r="M42" s="26">
        <v>-1158.0</v>
      </c>
      <c r="N42" s="27">
        <v>-4584.0</v>
      </c>
      <c r="O42" s="26">
        <v>-246.0</v>
      </c>
      <c r="P42" s="26">
        <v>660.0</v>
      </c>
      <c r="Q42" s="26">
        <v>1076.0</v>
      </c>
      <c r="R42" s="26">
        <v>4140.0</v>
      </c>
      <c r="S42" s="27">
        <v>5630.0</v>
      </c>
      <c r="T42" s="26">
        <v>-2739.0</v>
      </c>
      <c r="U42" s="1"/>
      <c r="V42" s="16">
        <f t="shared" ref="V42:X42" si="87">IFERROR(B42/B$4, "")</f>
        <v>0.000253554181</v>
      </c>
      <c r="W42" s="16">
        <f t="shared" si="87"/>
        <v>0.0004287467764</v>
      </c>
      <c r="X42" s="16">
        <f t="shared" si="87"/>
        <v>0.000549913448</v>
      </c>
      <c r="Y42" s="16">
        <f t="shared" si="79"/>
        <v>0.0005454979629</v>
      </c>
      <c r="Z42" s="16">
        <f t="shared" si="80"/>
        <v>-0.0004335679178</v>
      </c>
      <c r="AA42" s="16">
        <f t="shared" si="81"/>
        <v>0.0005062246298</v>
      </c>
      <c r="AB42" s="16"/>
      <c r="AC42" s="16">
        <f t="shared" ref="AC42:AD42" si="88">IFERROR((C42/B42)-1, "")</f>
        <v>0.8651162791</v>
      </c>
      <c r="AD42" s="16">
        <f t="shared" si="88"/>
        <v>0.2604851508</v>
      </c>
      <c r="AE42" s="16">
        <f t="shared" si="8"/>
        <v>-0.02661471043</v>
      </c>
      <c r="AF42" s="16">
        <f t="shared" si="9"/>
        <v>-1.847003176</v>
      </c>
      <c r="AG42" s="16">
        <f t="shared" si="10"/>
        <v>-2.228184991</v>
      </c>
      <c r="AH42" s="16"/>
      <c r="AI42" s="22"/>
    </row>
    <row r="43">
      <c r="A43" s="18" t="s">
        <v>73</v>
      </c>
      <c r="B43" s="27">
        <v>0.0</v>
      </c>
      <c r="C43" s="28">
        <v>0.0</v>
      </c>
      <c r="D43" s="20">
        <v>0.0</v>
      </c>
      <c r="E43" s="26">
        <v>0.0</v>
      </c>
      <c r="F43" s="26">
        <v>0.0</v>
      </c>
      <c r="G43" s="26">
        <v>0.0</v>
      </c>
      <c r="H43" s="26">
        <v>0.0</v>
      </c>
      <c r="I43" s="20">
        <v>0.0</v>
      </c>
      <c r="J43" s="26">
        <v>0.0</v>
      </c>
      <c r="K43" s="26">
        <v>0.0</v>
      </c>
      <c r="L43" s="26">
        <v>0.0</v>
      </c>
      <c r="M43" s="26">
        <v>0.0</v>
      </c>
      <c r="N43" s="20">
        <v>0.0</v>
      </c>
      <c r="O43" s="26">
        <v>0.0</v>
      </c>
      <c r="P43" s="26">
        <v>0.0</v>
      </c>
      <c r="Q43" s="26">
        <v>0.0</v>
      </c>
      <c r="R43" s="26">
        <v>0.0</v>
      </c>
      <c r="S43" s="20">
        <v>0.0</v>
      </c>
      <c r="T43" s="26">
        <v>0.0</v>
      </c>
      <c r="U43" s="1"/>
      <c r="V43" s="16"/>
      <c r="W43" s="16"/>
      <c r="X43" s="16"/>
      <c r="Y43" s="16"/>
      <c r="Z43" s="16"/>
      <c r="AA43" s="16"/>
      <c r="AB43" s="16"/>
      <c r="AC43" s="16" t="str">
        <f t="shared" ref="AC43:AD43" si="89">IFERROR((C43/B43)-1, "")</f>
        <v/>
      </c>
      <c r="AD43" s="16" t="str">
        <f t="shared" si="89"/>
        <v/>
      </c>
      <c r="AE43" s="16" t="str">
        <f t="shared" si="8"/>
        <v/>
      </c>
      <c r="AF43" s="16" t="str">
        <f t="shared" si="9"/>
        <v/>
      </c>
      <c r="AG43" s="16" t="str">
        <f t="shared" si="10"/>
        <v/>
      </c>
      <c r="AH43" s="16"/>
      <c r="AI43" s="22"/>
    </row>
    <row r="44">
      <c r="A44" s="18" t="s">
        <v>74</v>
      </c>
      <c r="B44" s="27">
        <v>0.0</v>
      </c>
      <c r="C44" s="28">
        <v>0.0</v>
      </c>
      <c r="D44" s="20">
        <v>0.0</v>
      </c>
      <c r="E44" s="26">
        <v>0.0</v>
      </c>
      <c r="F44" s="26">
        <v>0.0</v>
      </c>
      <c r="G44" s="26">
        <v>0.0</v>
      </c>
      <c r="H44" s="26">
        <v>0.0</v>
      </c>
      <c r="I44" s="20">
        <v>0.0</v>
      </c>
      <c r="J44" s="26">
        <v>0.0</v>
      </c>
      <c r="K44" s="26">
        <v>0.0</v>
      </c>
      <c r="L44" s="26">
        <v>0.0</v>
      </c>
      <c r="M44" s="26">
        <v>0.0</v>
      </c>
      <c r="N44" s="20">
        <v>0.0</v>
      </c>
      <c r="O44" s="26">
        <v>0.0</v>
      </c>
      <c r="P44" s="26">
        <v>0.0</v>
      </c>
      <c r="Q44" s="26">
        <v>0.0</v>
      </c>
      <c r="R44" s="26">
        <v>0.0</v>
      </c>
      <c r="S44" s="20">
        <v>0.0</v>
      </c>
      <c r="T44" s="26">
        <v>0.0</v>
      </c>
      <c r="U44" s="1"/>
      <c r="V44" s="16"/>
      <c r="W44" s="16"/>
      <c r="X44" s="16"/>
      <c r="Y44" s="16"/>
      <c r="Z44" s="16"/>
      <c r="AA44" s="16"/>
      <c r="AB44" s="16"/>
      <c r="AC44" s="16" t="str">
        <f t="shared" ref="AC44:AD44" si="90">IFERROR((C44/B44)-1, "")</f>
        <v/>
      </c>
      <c r="AD44" s="16" t="str">
        <f t="shared" si="90"/>
        <v/>
      </c>
      <c r="AE44" s="16" t="str">
        <f t="shared" si="8"/>
        <v/>
      </c>
      <c r="AF44" s="16" t="str">
        <f t="shared" si="9"/>
        <v/>
      </c>
      <c r="AG44" s="16" t="str">
        <f t="shared" si="10"/>
        <v/>
      </c>
      <c r="AH44" s="16"/>
      <c r="AI44" s="22"/>
    </row>
    <row r="45">
      <c r="A45" s="18" t="s">
        <v>75</v>
      </c>
      <c r="B45" s="27">
        <v>-86559.0</v>
      </c>
      <c r="C45" s="27">
        <v>195347.0</v>
      </c>
      <c r="D45" s="14">
        <v>212277.0</v>
      </c>
      <c r="E45" s="26">
        <v>142145.0</v>
      </c>
      <c r="F45" s="26">
        <v>102750.0</v>
      </c>
      <c r="G45" s="26">
        <v>39116.0</v>
      </c>
      <c r="H45" s="26">
        <v>24538.0</v>
      </c>
      <c r="I45" s="14">
        <v>308549.0</v>
      </c>
      <c r="J45" s="26">
        <v>45374.0</v>
      </c>
      <c r="K45" s="26">
        <v>-38761.0</v>
      </c>
      <c r="L45" s="26">
        <v>73561.0</v>
      </c>
      <c r="M45" s="26">
        <v>-2085.0</v>
      </c>
      <c r="N45" s="14">
        <v>78089.0</v>
      </c>
      <c r="O45" s="26">
        <v>15617.0</v>
      </c>
      <c r="P45" s="26">
        <v>135726.0</v>
      </c>
      <c r="Q45" s="26">
        <v>61359.0</v>
      </c>
      <c r="R45" s="26">
        <v>95162.0</v>
      </c>
      <c r="S45" s="14">
        <v>307864.0</v>
      </c>
      <c r="T45" s="26">
        <v>112013.0</v>
      </c>
      <c r="U45" s="1"/>
      <c r="V45" s="16">
        <f t="shared" ref="V45:X45" si="91">IFERROR(B45/B$4, "")</f>
        <v>-0.009280083024</v>
      </c>
      <c r="W45" s="16">
        <f t="shared" si="91"/>
        <v>0.01898762107</v>
      </c>
      <c r="X45" s="16">
        <f t="shared" si="91"/>
        <v>0.0209953196</v>
      </c>
      <c r="Y45" s="16">
        <f t="shared" ref="Y45:Y47" si="94">IFERROR(I45/I$4, "")</f>
        <v>0.03109980788</v>
      </c>
      <c r="Z45" s="16">
        <f t="shared" ref="Z45:Z47" si="95">IFERROR(N45/N$4, "")</f>
        <v>0.007385882446</v>
      </c>
      <c r="AA45" s="16">
        <f t="shared" ref="AA45:AA47" si="96">IFERROR(S45/S$4, "")</f>
        <v>0.02768176544</v>
      </c>
      <c r="AB45" s="16"/>
      <c r="AC45" s="16">
        <f t="shared" ref="AC45:AD45" si="92">IFERROR((C45/B45)-1, "")</f>
        <v>-3.256807495</v>
      </c>
      <c r="AD45" s="16">
        <f t="shared" si="92"/>
        <v>0.08666629127</v>
      </c>
      <c r="AE45" s="16">
        <f t="shared" si="8"/>
        <v>0.4535206358</v>
      </c>
      <c r="AF45" s="16">
        <f t="shared" si="9"/>
        <v>-0.7469154008</v>
      </c>
      <c r="AG45" s="16">
        <f t="shared" si="10"/>
        <v>2.942475893</v>
      </c>
      <c r="AH45" s="16"/>
      <c r="AI45" s="22"/>
    </row>
    <row r="46">
      <c r="A46" s="24" t="s">
        <v>76</v>
      </c>
      <c r="B46" s="28">
        <v>373112.0</v>
      </c>
      <c r="C46" s="28">
        <v>924922.0</v>
      </c>
      <c r="D46" s="20">
        <v>1769018.0</v>
      </c>
      <c r="E46" s="29">
        <v>493615.0</v>
      </c>
      <c r="F46" s="29">
        <v>434915.0</v>
      </c>
      <c r="G46" s="29">
        <v>416482.0</v>
      </c>
      <c r="H46" s="29">
        <v>398726.0</v>
      </c>
      <c r="I46" s="20">
        <v>1743738.0</v>
      </c>
      <c r="J46" s="29">
        <v>444354.0</v>
      </c>
      <c r="K46" s="29">
        <v>424023.0</v>
      </c>
      <c r="L46" s="29">
        <v>392263.0</v>
      </c>
      <c r="M46" s="29">
        <v>388768.0</v>
      </c>
      <c r="N46" s="20">
        <v>1649408.0</v>
      </c>
      <c r="O46" s="29">
        <v>439259.0</v>
      </c>
      <c r="P46" s="29">
        <v>552817.0</v>
      </c>
      <c r="Q46" s="29">
        <v>556556.0</v>
      </c>
      <c r="R46" s="29">
        <v>592986.0</v>
      </c>
      <c r="S46" s="20">
        <v>2141618.0</v>
      </c>
      <c r="T46" s="29">
        <v>541475.0</v>
      </c>
      <c r="U46" s="1"/>
      <c r="V46" s="16">
        <f t="shared" ref="V46:X46" si="93">IFERROR(B46/B$4, "")</f>
        <v>0.04000173682</v>
      </c>
      <c r="W46" s="16">
        <f t="shared" si="93"/>
        <v>0.0899019102</v>
      </c>
      <c r="X46" s="16">
        <f t="shared" si="93"/>
        <v>0.1749652496</v>
      </c>
      <c r="Y46" s="16">
        <f t="shared" si="94"/>
        <v>0.1757578757</v>
      </c>
      <c r="Z46" s="16">
        <f t="shared" si="95"/>
        <v>0.1560057574</v>
      </c>
      <c r="AA46" s="16">
        <f t="shared" si="96"/>
        <v>0.192564792</v>
      </c>
      <c r="AB46" s="16"/>
      <c r="AC46" s="16">
        <f t="shared" ref="AC46:AD46" si="97">IFERROR((C46/B46)-1, "")</f>
        <v>1.4789393</v>
      </c>
      <c r="AD46" s="16">
        <f t="shared" si="97"/>
        <v>0.9126131717</v>
      </c>
      <c r="AE46" s="16">
        <f t="shared" si="8"/>
        <v>-0.01429041423</v>
      </c>
      <c r="AF46" s="16">
        <f t="shared" si="9"/>
        <v>-0.05409642962</v>
      </c>
      <c r="AG46" s="16">
        <f t="shared" si="10"/>
        <v>0.298416159</v>
      </c>
      <c r="AH46" s="16"/>
      <c r="AI46" s="22"/>
    </row>
    <row r="47">
      <c r="A47" s="24" t="s">
        <v>77</v>
      </c>
      <c r="B47" s="28">
        <v>-302485.0</v>
      </c>
      <c r="C47" s="28">
        <v>-684920.0</v>
      </c>
      <c r="D47" s="28">
        <v>-1593912.0</v>
      </c>
      <c r="E47" s="29">
        <v>-365775.0</v>
      </c>
      <c r="F47" s="29">
        <v>-357446.0</v>
      </c>
      <c r="G47" s="29">
        <v>-365312.0</v>
      </c>
      <c r="H47" s="29">
        <v>-386571.0</v>
      </c>
      <c r="I47" s="28">
        <v>-1475104.0</v>
      </c>
      <c r="J47" s="29">
        <v>-390293.0</v>
      </c>
      <c r="K47" s="29">
        <v>-428492.0</v>
      </c>
      <c r="L47" s="29">
        <v>-330269.0</v>
      </c>
      <c r="M47" s="29">
        <v>-339325.0</v>
      </c>
      <c r="N47" s="28">
        <v>-1488379.0</v>
      </c>
      <c r="O47" s="29">
        <v>-458271.0</v>
      </c>
      <c r="P47" s="29">
        <v>-438929.0</v>
      </c>
      <c r="Q47" s="29">
        <v>-513612.0</v>
      </c>
      <c r="R47" s="29">
        <v>-489919.0</v>
      </c>
      <c r="S47" s="28">
        <v>-1900731.0</v>
      </c>
      <c r="T47" s="29">
        <v>-462593.0</v>
      </c>
      <c r="U47" s="1"/>
      <c r="V47" s="16">
        <f t="shared" ref="V47:X47" si="98">IFERROR(B47/B$4, "")</f>
        <v>-0.03242974057</v>
      </c>
      <c r="W47" s="16">
        <f t="shared" si="98"/>
        <v>-0.06657384767</v>
      </c>
      <c r="X47" s="16">
        <f t="shared" si="98"/>
        <v>-0.1576463388</v>
      </c>
      <c r="Y47" s="16">
        <f t="shared" si="94"/>
        <v>-0.14868125</v>
      </c>
      <c r="Z47" s="16">
        <f t="shared" si="95"/>
        <v>-0.140775171</v>
      </c>
      <c r="AA47" s="16">
        <f t="shared" si="96"/>
        <v>-0.1709053014</v>
      </c>
      <c r="AB47" s="16"/>
      <c r="AC47" s="16">
        <f t="shared" ref="AC47:AD47" si="99">IFERROR((C47/B47)-1, "")</f>
        <v>1.264310627</v>
      </c>
      <c r="AD47" s="16">
        <f t="shared" si="99"/>
        <v>1.327150616</v>
      </c>
      <c r="AE47" s="16">
        <f t="shared" si="8"/>
        <v>-0.07453861945</v>
      </c>
      <c r="AF47" s="16">
        <f t="shared" si="9"/>
        <v>0.008999365468</v>
      </c>
      <c r="AG47" s="16">
        <f t="shared" si="10"/>
        <v>0.2770477143</v>
      </c>
      <c r="AH47" s="16"/>
      <c r="AI47" s="22"/>
    </row>
    <row r="48">
      <c r="A48" s="24" t="s">
        <v>78</v>
      </c>
      <c r="B48" s="28">
        <v>0.0</v>
      </c>
      <c r="C48" s="28">
        <v>0.0</v>
      </c>
      <c r="D48" s="20">
        <v>0.0</v>
      </c>
      <c r="E48" s="29">
        <v>0.0</v>
      </c>
      <c r="F48" s="29">
        <v>0.0</v>
      </c>
      <c r="G48" s="29">
        <v>0.0</v>
      </c>
      <c r="H48" s="29">
        <v>0.0</v>
      </c>
      <c r="I48" s="20">
        <v>0.0</v>
      </c>
      <c r="J48" s="29">
        <v>0.0</v>
      </c>
      <c r="K48" s="29">
        <v>0.0</v>
      </c>
      <c r="L48" s="29">
        <v>0.0</v>
      </c>
      <c r="M48" s="29">
        <v>0.0</v>
      </c>
      <c r="N48" s="20">
        <v>0.0</v>
      </c>
      <c r="O48" s="29">
        <v>0.0</v>
      </c>
      <c r="P48" s="29">
        <v>0.0</v>
      </c>
      <c r="Q48" s="29">
        <v>0.0</v>
      </c>
      <c r="R48" s="29">
        <v>0.0</v>
      </c>
      <c r="S48" s="20">
        <v>0.0</v>
      </c>
      <c r="T48" s="29">
        <v>0.0</v>
      </c>
      <c r="U48" s="1"/>
      <c r="V48" s="16"/>
      <c r="W48" s="16"/>
      <c r="X48" s="16"/>
      <c r="Y48" s="16"/>
      <c r="Z48" s="16"/>
      <c r="AA48" s="16"/>
      <c r="AB48" s="16"/>
      <c r="AC48" s="16" t="str">
        <f t="shared" ref="AC48:AD48" si="100">IFERROR((C48/B48)-1, "")</f>
        <v/>
      </c>
      <c r="AD48" s="16" t="str">
        <f t="shared" si="100"/>
        <v/>
      </c>
      <c r="AE48" s="16" t="str">
        <f t="shared" si="8"/>
        <v/>
      </c>
      <c r="AF48" s="16" t="str">
        <f t="shared" si="9"/>
        <v/>
      </c>
      <c r="AG48" s="16" t="str">
        <f t="shared" si="10"/>
        <v/>
      </c>
      <c r="AH48" s="16"/>
      <c r="AI48" s="22"/>
    </row>
    <row r="49">
      <c r="A49" s="24" t="s">
        <v>79</v>
      </c>
      <c r="B49" s="28">
        <v>-157186.0</v>
      </c>
      <c r="C49" s="28">
        <v>-44655.0</v>
      </c>
      <c r="D49" s="20">
        <v>37171.0</v>
      </c>
      <c r="E49" s="29">
        <v>14305.0</v>
      </c>
      <c r="F49" s="29">
        <v>25281.0</v>
      </c>
      <c r="G49" s="29">
        <v>-12054.0</v>
      </c>
      <c r="H49" s="29">
        <v>12383.0</v>
      </c>
      <c r="I49" s="20">
        <v>39915.0</v>
      </c>
      <c r="J49" s="29">
        <v>-8687.0</v>
      </c>
      <c r="K49" s="29">
        <v>-34292.0</v>
      </c>
      <c r="L49" s="29">
        <v>11567.0</v>
      </c>
      <c r="M49" s="29">
        <v>-51528.0</v>
      </c>
      <c r="N49" s="20">
        <v>-82940.0</v>
      </c>
      <c r="O49" s="29">
        <v>34629.0</v>
      </c>
      <c r="P49" s="29">
        <v>21838.0</v>
      </c>
      <c r="Q49" s="29">
        <v>18415.0</v>
      </c>
      <c r="R49" s="29">
        <v>-7905.0</v>
      </c>
      <c r="S49" s="20">
        <v>66977.0</v>
      </c>
      <c r="T49" s="29">
        <v>33131.0</v>
      </c>
      <c r="U49" s="1"/>
      <c r="V49" s="16">
        <f t="shared" ref="V49:X49" si="101">IFERROR(B49/B$4, "")</f>
        <v>-0.01685207928</v>
      </c>
      <c r="W49" s="16">
        <f t="shared" si="101"/>
        <v>-0.004340441464</v>
      </c>
      <c r="X49" s="16">
        <f t="shared" si="101"/>
        <v>0.003676408772</v>
      </c>
      <c r="Y49" s="16">
        <f t="shared" ref="Y49:Y54" si="104">IFERROR(I49/I$4, "")</f>
        <v>0.004023182157</v>
      </c>
      <c r="Z49" s="16">
        <f t="shared" ref="Z49:Z54" si="105">IFERROR(N49/N$4, "")</f>
        <v>-0.007844703992</v>
      </c>
      <c r="AA49" s="16">
        <f t="shared" ref="AA49:AA54" si="106">IFERROR(S49/S$4, "")</f>
        <v>0.006022274783</v>
      </c>
      <c r="AB49" s="16"/>
      <c r="AC49" s="16">
        <f t="shared" ref="AC49:AD49" si="102">IFERROR((C49/B49)-1, "")</f>
        <v>-0.7159098139</v>
      </c>
      <c r="AD49" s="16">
        <f t="shared" si="102"/>
        <v>-1.832403986</v>
      </c>
      <c r="AE49" s="16">
        <f t="shared" si="8"/>
        <v>0.07382098948</v>
      </c>
      <c r="AF49" s="16">
        <f t="shared" si="9"/>
        <v>-3.077915571</v>
      </c>
      <c r="AG49" s="16">
        <f t="shared" si="10"/>
        <v>-1.807535568</v>
      </c>
      <c r="AH49" s="16"/>
      <c r="AI49" s="22"/>
    </row>
    <row r="50">
      <c r="A50" s="18" t="s">
        <v>80</v>
      </c>
      <c r="B50" s="27">
        <v>5515850.0</v>
      </c>
      <c r="C50" s="27">
        <v>6516331.0</v>
      </c>
      <c r="D50" s="14">
        <v>5790151.0</v>
      </c>
      <c r="E50" s="26">
        <v>1499120.02221</v>
      </c>
      <c r="F50" s="26">
        <v>1477065.0</v>
      </c>
      <c r="G50" s="26">
        <v>1386322.0</v>
      </c>
      <c r="H50" s="26">
        <v>1195665.0</v>
      </c>
      <c r="I50" s="14">
        <v>5558172.02221</v>
      </c>
      <c r="J50" s="26">
        <v>1269030.0</v>
      </c>
      <c r="K50" s="26">
        <v>1689408.0</v>
      </c>
      <c r="L50" s="26">
        <v>1677776.0</v>
      </c>
      <c r="M50" s="26">
        <v>1487778.0</v>
      </c>
      <c r="N50" s="14">
        <v>6123992.0</v>
      </c>
      <c r="O50" s="26">
        <v>1574844.0</v>
      </c>
      <c r="P50" s="26">
        <v>1834334.0</v>
      </c>
      <c r="Q50" s="26">
        <v>1707414.0</v>
      </c>
      <c r="R50" s="26">
        <v>1829309.0</v>
      </c>
      <c r="S50" s="14">
        <v>6945901.0</v>
      </c>
      <c r="T50" s="26">
        <v>2064016.0</v>
      </c>
      <c r="U50" s="1"/>
      <c r="V50" s="16">
        <f t="shared" ref="V50:X50" si="103">IFERROR(B50/B$4, "")</f>
        <v>0.5913601815</v>
      </c>
      <c r="W50" s="16">
        <f t="shared" si="103"/>
        <v>0.6333837928</v>
      </c>
      <c r="X50" s="16">
        <f t="shared" si="103"/>
        <v>0.5726766008</v>
      </c>
      <c r="Y50" s="16">
        <f t="shared" si="104"/>
        <v>0.5602289492</v>
      </c>
      <c r="Z50" s="16">
        <f t="shared" si="105"/>
        <v>0.5792247949</v>
      </c>
      <c r="AA50" s="16">
        <f t="shared" si="106"/>
        <v>0.6245446114</v>
      </c>
      <c r="AB50" s="16"/>
      <c r="AC50" s="16">
        <f t="shared" ref="AC50:AD50" si="107">IFERROR((C50/B50)-1, "")</f>
        <v>0.1813829238</v>
      </c>
      <c r="AD50" s="16">
        <f t="shared" si="107"/>
        <v>-0.1114400113</v>
      </c>
      <c r="AE50" s="16">
        <f t="shared" si="8"/>
        <v>-0.04006440899</v>
      </c>
      <c r="AF50" s="16">
        <f t="shared" si="9"/>
        <v>0.101799652</v>
      </c>
      <c r="AG50" s="16">
        <f t="shared" si="10"/>
        <v>0.1342113118</v>
      </c>
      <c r="AH50" s="16"/>
      <c r="AI50" s="22"/>
    </row>
    <row r="51">
      <c r="A51" s="18" t="s">
        <v>81</v>
      </c>
      <c r="B51" s="27">
        <v>-1365135.0</v>
      </c>
      <c r="C51" s="27">
        <v>-1799242.0</v>
      </c>
      <c r="D51" s="27">
        <v>-1563553.0</v>
      </c>
      <c r="E51" s="26">
        <v>-409662.0</v>
      </c>
      <c r="F51" s="26">
        <v>-424123.0</v>
      </c>
      <c r="G51" s="26">
        <v>-312015.0</v>
      </c>
      <c r="H51" s="26">
        <v>-279860.0</v>
      </c>
      <c r="I51" s="27">
        <v>-1425660.0</v>
      </c>
      <c r="J51" s="26">
        <v>-319461.0</v>
      </c>
      <c r="K51" s="26">
        <v>-445365.0</v>
      </c>
      <c r="L51" s="26">
        <v>-473243.0</v>
      </c>
      <c r="M51" s="26">
        <v>-309232.0</v>
      </c>
      <c r="N51" s="27">
        <v>-1547301.0</v>
      </c>
      <c r="O51" s="26">
        <v>-468721.0</v>
      </c>
      <c r="P51" s="26">
        <v>-507353.0</v>
      </c>
      <c r="Q51" s="26">
        <v>-461500.0</v>
      </c>
      <c r="R51" s="26">
        <v>-921455.0</v>
      </c>
      <c r="S51" s="27">
        <v>-2359029.0</v>
      </c>
      <c r="T51" s="26">
        <v>-586882.0</v>
      </c>
      <c r="U51" s="1"/>
      <c r="V51" s="16">
        <f t="shared" ref="V51:X51" si="108">IFERROR(B51/B$4, "")</f>
        <v>-0.1463575843</v>
      </c>
      <c r="W51" s="16">
        <f t="shared" si="108"/>
        <v>-0.1748853338</v>
      </c>
      <c r="X51" s="16">
        <f t="shared" si="108"/>
        <v>-0.1546436729</v>
      </c>
      <c r="Y51" s="16">
        <f t="shared" si="104"/>
        <v>-0.1436976043</v>
      </c>
      <c r="Z51" s="16">
        <f t="shared" si="105"/>
        <v>-0.1463481834</v>
      </c>
      <c r="AA51" s="16">
        <f t="shared" si="106"/>
        <v>-0.2121134249</v>
      </c>
      <c r="AB51" s="16"/>
      <c r="AC51" s="16">
        <f t="shared" ref="AC51:AD51" si="109">IFERROR((C51/B51)-1, "")</f>
        <v>0.3179956561</v>
      </c>
      <c r="AD51" s="16">
        <f t="shared" si="109"/>
        <v>-0.1309934962</v>
      </c>
      <c r="AE51" s="16">
        <f t="shared" si="8"/>
        <v>-0.08819208559</v>
      </c>
      <c r="AF51" s="16">
        <f t="shared" si="9"/>
        <v>0.08532258743</v>
      </c>
      <c r="AG51" s="16">
        <f t="shared" si="10"/>
        <v>0.5246089804</v>
      </c>
      <c r="AH51" s="16"/>
      <c r="AI51" s="22"/>
    </row>
    <row r="52">
      <c r="A52" s="24" t="s">
        <v>82</v>
      </c>
      <c r="B52" s="28">
        <v>-633851.0</v>
      </c>
      <c r="C52" s="28">
        <v>-1009518.0</v>
      </c>
      <c r="D52" s="28">
        <v>-1268022.0</v>
      </c>
      <c r="E52" s="29">
        <v>-368409.0</v>
      </c>
      <c r="F52" s="29">
        <v>-396959.0</v>
      </c>
      <c r="G52" s="29">
        <v>-251783.0</v>
      </c>
      <c r="H52" s="29">
        <v>-350401.0</v>
      </c>
      <c r="I52" s="28">
        <v>-1367552.0</v>
      </c>
      <c r="J52" s="29">
        <v>-345710.0</v>
      </c>
      <c r="K52" s="29">
        <v>-514322.0</v>
      </c>
      <c r="L52" s="29">
        <v>-358898.0</v>
      </c>
      <c r="M52" s="29">
        <v>-424936.0</v>
      </c>
      <c r="N52" s="28">
        <v>-1643866.0</v>
      </c>
      <c r="O52" s="29">
        <v>-364981.0</v>
      </c>
      <c r="P52" s="29">
        <v>-497158.0</v>
      </c>
      <c r="Q52" s="29">
        <v>-459570.0</v>
      </c>
      <c r="R52" s="29">
        <v>94865.0</v>
      </c>
      <c r="S52" s="28">
        <v>-1226844.0</v>
      </c>
      <c r="T52" s="29">
        <v>-533941.0</v>
      </c>
      <c r="U52" s="1"/>
      <c r="V52" s="16">
        <f t="shared" ref="V52:X52" si="110">IFERROR(B52/B$4, "")</f>
        <v>-0.06795584405</v>
      </c>
      <c r="W52" s="16">
        <f t="shared" si="110"/>
        <v>-0.09812459492</v>
      </c>
      <c r="X52" s="16">
        <f t="shared" si="110"/>
        <v>-0.1254140917</v>
      </c>
      <c r="Y52" s="16">
        <f t="shared" si="104"/>
        <v>-0.1378406816</v>
      </c>
      <c r="Z52" s="16">
        <f t="shared" si="105"/>
        <v>-0.1554815791</v>
      </c>
      <c r="AA52" s="16">
        <f t="shared" si="106"/>
        <v>-0.1103123712</v>
      </c>
      <c r="AB52" s="16"/>
      <c r="AC52" s="16">
        <f t="shared" ref="AC52:AD52" si="111">IFERROR((C52/B52)-1, "")</f>
        <v>0.5926739881</v>
      </c>
      <c r="AD52" s="16">
        <f t="shared" si="111"/>
        <v>0.2560667566</v>
      </c>
      <c r="AE52" s="16">
        <f t="shared" si="8"/>
        <v>0.078492329</v>
      </c>
      <c r="AF52" s="16">
        <f t="shared" si="9"/>
        <v>0.2020500866</v>
      </c>
      <c r="AG52" s="16">
        <f t="shared" si="10"/>
        <v>-0.2536836944</v>
      </c>
      <c r="AH52" s="16"/>
      <c r="AI52" s="22"/>
    </row>
    <row r="53">
      <c r="A53" s="24" t="s">
        <v>83</v>
      </c>
      <c r="B53" s="28">
        <v>-731284.0</v>
      </c>
      <c r="C53" s="28">
        <v>-789724.0</v>
      </c>
      <c r="D53" s="28">
        <v>-295531.0</v>
      </c>
      <c r="E53" s="29">
        <v>-41253.0</v>
      </c>
      <c r="F53" s="29">
        <v>-27164.0</v>
      </c>
      <c r="G53" s="29">
        <v>-60232.0</v>
      </c>
      <c r="H53" s="29">
        <v>70541.0</v>
      </c>
      <c r="I53" s="28">
        <v>-58108.0</v>
      </c>
      <c r="J53" s="29">
        <v>26249.0</v>
      </c>
      <c r="K53" s="29">
        <v>68957.0</v>
      </c>
      <c r="L53" s="29">
        <v>-114345.0</v>
      </c>
      <c r="M53" s="29">
        <v>115704.0</v>
      </c>
      <c r="N53" s="28">
        <v>96565.0</v>
      </c>
      <c r="O53" s="29">
        <v>-103740.0</v>
      </c>
      <c r="P53" s="29">
        <v>-10195.0</v>
      </c>
      <c r="Q53" s="29">
        <v>-1930.0</v>
      </c>
      <c r="R53" s="29">
        <v>-1016320.0</v>
      </c>
      <c r="S53" s="28">
        <v>-1132185.0</v>
      </c>
      <c r="T53" s="29">
        <v>-52941.0</v>
      </c>
      <c r="U53" s="1"/>
      <c r="V53" s="16">
        <f t="shared" ref="V53:X53" si="112">IFERROR(B53/B$4, "")</f>
        <v>-0.07840174025</v>
      </c>
      <c r="W53" s="16">
        <f t="shared" si="112"/>
        <v>-0.07676073889</v>
      </c>
      <c r="X53" s="16">
        <f t="shared" si="112"/>
        <v>-0.02922958115</v>
      </c>
      <c r="Y53" s="16">
        <f t="shared" si="104"/>
        <v>-0.00585692268</v>
      </c>
      <c r="Z53" s="16">
        <f t="shared" si="105"/>
        <v>0.00913339572</v>
      </c>
      <c r="AA53" s="16">
        <f t="shared" si="106"/>
        <v>-0.1018010537</v>
      </c>
      <c r="AB53" s="16"/>
      <c r="AC53" s="16">
        <f t="shared" ref="AC53:AD53" si="113">IFERROR((C53/B53)-1, "")</f>
        <v>0.07991423305</v>
      </c>
      <c r="AD53" s="16">
        <f t="shared" si="113"/>
        <v>-0.6257793862</v>
      </c>
      <c r="AE53" s="16">
        <f t="shared" si="8"/>
        <v>-0.803377649</v>
      </c>
      <c r="AF53" s="16">
        <f t="shared" si="9"/>
        <v>-2.661819371</v>
      </c>
      <c r="AG53" s="16">
        <f t="shared" si="10"/>
        <v>-12.72458965</v>
      </c>
      <c r="AH53" s="16"/>
      <c r="AI53" s="22"/>
    </row>
    <row r="54">
      <c r="A54" s="18" t="s">
        <v>84</v>
      </c>
      <c r="B54" s="27">
        <v>4150715.0</v>
      </c>
      <c r="C54" s="27">
        <v>4717089.0</v>
      </c>
      <c r="D54" s="14">
        <v>4226598.0</v>
      </c>
      <c r="E54" s="26">
        <v>1089458.02221</v>
      </c>
      <c r="F54" s="26">
        <v>1052942.0</v>
      </c>
      <c r="G54" s="26">
        <v>1074307.0</v>
      </c>
      <c r="H54" s="26">
        <v>915805.0</v>
      </c>
      <c r="I54" s="14">
        <v>4132512.02221</v>
      </c>
      <c r="J54" s="26">
        <v>949569.0</v>
      </c>
      <c r="K54" s="26">
        <v>1244043.0</v>
      </c>
      <c r="L54" s="26">
        <v>1204533.0</v>
      </c>
      <c r="M54" s="26">
        <v>1178546.0</v>
      </c>
      <c r="N54" s="14">
        <v>4576691.0</v>
      </c>
      <c r="O54" s="26">
        <v>1106123.0</v>
      </c>
      <c r="P54" s="26">
        <v>1326981.0</v>
      </c>
      <c r="Q54" s="26">
        <v>1245914.0</v>
      </c>
      <c r="R54" s="26">
        <f>R50+R51</f>
        <v>907854</v>
      </c>
      <c r="S54" s="14">
        <v>4586872.0</v>
      </c>
      <c r="T54" s="26">
        <v>1477134.0</v>
      </c>
      <c r="U54" s="1"/>
      <c r="V54" s="16">
        <f t="shared" ref="V54:X54" si="114">IFERROR(B54/B$4, "")</f>
        <v>0.4450025972</v>
      </c>
      <c r="W54" s="16">
        <f t="shared" si="114"/>
        <v>0.458498459</v>
      </c>
      <c r="X54" s="16">
        <f t="shared" si="114"/>
        <v>0.4180329279</v>
      </c>
      <c r="Y54" s="16">
        <f t="shared" si="104"/>
        <v>0.4165313449</v>
      </c>
      <c r="Z54" s="16">
        <f t="shared" si="105"/>
        <v>0.4328766115</v>
      </c>
      <c r="AA54" s="16">
        <f t="shared" si="106"/>
        <v>0.4124311865</v>
      </c>
      <c r="AB54" s="16"/>
      <c r="AC54" s="16">
        <f t="shared" ref="AC54:AD54" si="115">IFERROR((C54/B54)-1, "")</f>
        <v>0.1364521534</v>
      </c>
      <c r="AD54" s="16">
        <f t="shared" si="115"/>
        <v>-0.1039817141</v>
      </c>
      <c r="AE54" s="16">
        <f t="shared" si="8"/>
        <v>-0.02226045103</v>
      </c>
      <c r="AF54" s="16">
        <f t="shared" si="9"/>
        <v>0.1074840135</v>
      </c>
      <c r="AG54" s="16">
        <f t="shared" si="10"/>
        <v>0.002224532965</v>
      </c>
      <c r="AH54" s="16"/>
      <c r="AI54" s="22"/>
    </row>
    <row r="55">
      <c r="A55" s="18" t="s">
        <v>85</v>
      </c>
      <c r="B55" s="27">
        <v>0.0</v>
      </c>
      <c r="C55" s="28">
        <v>0.0</v>
      </c>
      <c r="D55" s="14">
        <v>0.0</v>
      </c>
      <c r="E55" s="26">
        <v>0.0</v>
      </c>
      <c r="F55" s="26">
        <v>0.0</v>
      </c>
      <c r="G55" s="26">
        <v>0.0</v>
      </c>
      <c r="H55" s="26">
        <v>0.0</v>
      </c>
      <c r="I55" s="14">
        <v>0.0</v>
      </c>
      <c r="J55" s="26">
        <v>0.0</v>
      </c>
      <c r="K55" s="26">
        <v>0.0</v>
      </c>
      <c r="L55" s="26">
        <v>0.0</v>
      </c>
      <c r="M55" s="26">
        <v>0.0</v>
      </c>
      <c r="N55" s="14">
        <v>0.0</v>
      </c>
      <c r="O55" s="26">
        <v>0.0</v>
      </c>
      <c r="P55" s="26">
        <v>0.0</v>
      </c>
      <c r="Q55" s="26">
        <v>0.0</v>
      </c>
      <c r="R55" s="26">
        <v>0.0</v>
      </c>
      <c r="S55" s="14">
        <v>0.0</v>
      </c>
      <c r="T55" s="26">
        <v>0.0</v>
      </c>
      <c r="U55" s="1"/>
      <c r="V55" s="16"/>
      <c r="W55" s="16"/>
      <c r="X55" s="16"/>
      <c r="Y55" s="16"/>
      <c r="Z55" s="16"/>
      <c r="AA55" s="16"/>
      <c r="AB55" s="16"/>
      <c r="AC55" s="16" t="str">
        <f t="shared" ref="AC55:AD55" si="116">IFERROR((C55/B55)-1, "")</f>
        <v/>
      </c>
      <c r="AD55" s="16" t="str">
        <f t="shared" si="116"/>
        <v/>
      </c>
      <c r="AE55" s="16" t="str">
        <f t="shared" si="8"/>
        <v/>
      </c>
      <c r="AF55" s="16" t="str">
        <f t="shared" si="9"/>
        <v/>
      </c>
      <c r="AG55" s="16" t="str">
        <f t="shared" si="10"/>
        <v/>
      </c>
      <c r="AH55" s="16"/>
      <c r="AI55" s="22"/>
    </row>
    <row r="56">
      <c r="A56" s="18" t="s">
        <v>86</v>
      </c>
      <c r="B56" s="27">
        <v>4150715.0</v>
      </c>
      <c r="C56" s="27">
        <v>4717089.0</v>
      </c>
      <c r="D56" s="14">
        <v>4226598.0</v>
      </c>
      <c r="E56" s="26">
        <v>1089458.02221</v>
      </c>
      <c r="F56" s="26">
        <v>1052942.0</v>
      </c>
      <c r="G56" s="26">
        <v>1074307.0</v>
      </c>
      <c r="H56" s="26">
        <v>915805.0</v>
      </c>
      <c r="I56" s="14">
        <v>4132512.02221</v>
      </c>
      <c r="J56" s="26">
        <v>949569.0</v>
      </c>
      <c r="K56" s="26">
        <v>1244043.0</v>
      </c>
      <c r="L56" s="26">
        <v>1204533.0</v>
      </c>
      <c r="M56" s="26">
        <v>1178546.0</v>
      </c>
      <c r="N56" s="14">
        <v>4576691.0</v>
      </c>
      <c r="O56" s="26">
        <v>1106123.0</v>
      </c>
      <c r="P56" s="26">
        <v>1326981.0</v>
      </c>
      <c r="Q56" s="26">
        <v>1245914.0</v>
      </c>
      <c r="R56" s="26">
        <v>907854.0</v>
      </c>
      <c r="S56" s="14">
        <v>4586872.0</v>
      </c>
      <c r="T56" s="26">
        <v>1477134.0</v>
      </c>
      <c r="U56" s="1"/>
      <c r="V56" s="36">
        <f t="shared" ref="V56:X56" si="117">IFERROR(B56/B$4, "")</f>
        <v>0.4450025972</v>
      </c>
      <c r="W56" s="16">
        <f t="shared" si="117"/>
        <v>0.458498459</v>
      </c>
      <c r="X56" s="16">
        <f t="shared" si="117"/>
        <v>0.4180329279</v>
      </c>
      <c r="Y56" s="16">
        <f t="shared" ref="Y56:Y57" si="120">IFERROR(I56/I$4, "")</f>
        <v>0.4165313449</v>
      </c>
      <c r="Z56" s="16">
        <f t="shared" ref="Z56:Z57" si="121">IFERROR(N56/N$4, "")</f>
        <v>0.4328766115</v>
      </c>
      <c r="AA56" s="16">
        <f t="shared" ref="AA56:AA57" si="122">IFERROR(S56/S$4, "")</f>
        <v>0.4124311865</v>
      </c>
      <c r="AB56" s="16"/>
      <c r="AC56" s="16">
        <f t="shared" ref="AC56:AD56" si="118">IFERROR((C56/B56)-1, "")</f>
        <v>0.1364521534</v>
      </c>
      <c r="AD56" s="16">
        <f t="shared" si="118"/>
        <v>-0.1039817141</v>
      </c>
      <c r="AE56" s="16">
        <f t="shared" si="8"/>
        <v>-0.02226045103</v>
      </c>
      <c r="AF56" s="16">
        <f t="shared" si="9"/>
        <v>0.1074840135</v>
      </c>
      <c r="AG56" s="16">
        <f t="shared" si="10"/>
        <v>0.002224532965</v>
      </c>
      <c r="AH56" s="16"/>
      <c r="AI56" s="17"/>
    </row>
    <row r="57">
      <c r="A57" s="33" t="s">
        <v>87</v>
      </c>
      <c r="B57" s="37">
        <v>0.49515990015001354</v>
      </c>
      <c r="C57" s="37">
        <v>0.5100523948113825</v>
      </c>
      <c r="D57" s="37">
        <v>0.4648846702486099</v>
      </c>
      <c r="E57" s="38">
        <v>0.4931013045215896</v>
      </c>
      <c r="F57" s="38">
        <v>0.4720579386267376</v>
      </c>
      <c r="G57" s="38">
        <v>0.4778478084884931</v>
      </c>
      <c r="H57" s="38">
        <v>0.40844346781685525</v>
      </c>
      <c r="I57" s="37">
        <v>0.4627660081813881</v>
      </c>
      <c r="J57" s="38">
        <v>0.4274780671742309</v>
      </c>
      <c r="K57" s="38">
        <v>0.5063231222939715</v>
      </c>
      <c r="L57" s="38">
        <v>0.49448872621223394</v>
      </c>
      <c r="M57" s="38">
        <v>0.49122252741527417</v>
      </c>
      <c r="N57" s="37">
        <v>0.48107493502895055</v>
      </c>
      <c r="O57" s="38">
        <v>0.4632095090608948</v>
      </c>
      <c r="P57" s="38">
        <v>0.5219616441201181</v>
      </c>
      <c r="Q57" s="38">
        <v>0.5011824458184782</v>
      </c>
      <c r="R57" s="38">
        <v>0.34232444001345386</v>
      </c>
      <c r="S57" s="37">
        <v>0.45557892169097897</v>
      </c>
      <c r="T57" s="38">
        <v>0.5140684320664686</v>
      </c>
      <c r="U57" s="1"/>
      <c r="V57" s="16">
        <f t="shared" ref="V57:X57" si="119">IFERROR(B57/B$4, "")</f>
        <v>0.00000005308662281</v>
      </c>
      <c r="W57" s="16">
        <f t="shared" si="119"/>
        <v>0.00000004957681253</v>
      </c>
      <c r="X57" s="16">
        <f t="shared" si="119"/>
        <v>0.0000000459795561</v>
      </c>
      <c r="Y57" s="16">
        <f t="shared" si="120"/>
        <v>0.000000046643917</v>
      </c>
      <c r="Z57" s="16">
        <f t="shared" si="121"/>
        <v>0.00000004550145242</v>
      </c>
      <c r="AA57" s="16">
        <f t="shared" si="122"/>
        <v>0.00000004096363605</v>
      </c>
      <c r="AB57" s="16"/>
      <c r="AC57" s="16">
        <f t="shared" ref="AC57:AD57" si="123">IFERROR((C57/B57)-1, "")</f>
        <v>0.03007613229</v>
      </c>
      <c r="AD57" s="16">
        <f t="shared" si="123"/>
        <v>-0.08855506811</v>
      </c>
      <c r="AE57" s="16">
        <f t="shared" si="8"/>
        <v>-0.004557392839</v>
      </c>
      <c r="AF57" s="16">
        <f t="shared" si="9"/>
        <v>0.03956411345</v>
      </c>
      <c r="AG57" s="16">
        <f t="shared" si="10"/>
        <v>-0.05299800817</v>
      </c>
      <c r="AH57" s="16"/>
      <c r="AI57" s="22"/>
    </row>
    <row r="58">
      <c r="A58" s="18" t="s">
        <v>88</v>
      </c>
      <c r="B58" s="37"/>
      <c r="C58" s="37"/>
      <c r="D58" s="37"/>
      <c r="E58" s="38"/>
      <c r="F58" s="38"/>
      <c r="G58" s="38"/>
      <c r="H58" s="38"/>
      <c r="I58" s="37"/>
      <c r="J58" s="38"/>
      <c r="K58" s="38"/>
      <c r="L58" s="38"/>
      <c r="M58" s="38"/>
      <c r="N58" s="37"/>
      <c r="O58" s="38"/>
      <c r="P58" s="38"/>
      <c r="Q58" s="38"/>
      <c r="R58" s="38"/>
      <c r="S58" s="37"/>
      <c r="T58" s="38"/>
      <c r="U58" s="1"/>
      <c r="V58" s="16"/>
      <c r="W58" s="16"/>
      <c r="X58" s="16"/>
      <c r="Y58" s="16"/>
      <c r="Z58" s="16"/>
      <c r="AA58" s="16"/>
      <c r="AB58" s="16"/>
      <c r="AC58" s="16" t="str">
        <f t="shared" ref="AC58:AD58" si="124">IFERROR((C58/B58)-1, "")</f>
        <v/>
      </c>
      <c r="AD58" s="16" t="str">
        <f t="shared" si="124"/>
        <v/>
      </c>
      <c r="AE58" s="16" t="str">
        <f t="shared" si="8"/>
        <v/>
      </c>
      <c r="AF58" s="16" t="str">
        <f t="shared" si="9"/>
        <v/>
      </c>
      <c r="AG58" s="16" t="str">
        <f t="shared" si="10"/>
        <v/>
      </c>
      <c r="AH58" s="16"/>
      <c r="AI58" s="22"/>
    </row>
    <row r="59">
      <c r="A59" s="24" t="s">
        <v>89</v>
      </c>
      <c r="B59" s="27">
        <v>4152304.0</v>
      </c>
      <c r="C59" s="27">
        <v>4717097.0</v>
      </c>
      <c r="D59" s="14">
        <v>4226057.0</v>
      </c>
      <c r="E59" s="26">
        <v>1089351.02221</v>
      </c>
      <c r="F59" s="26">
        <v>1052794.0</v>
      </c>
      <c r="G59" s="26">
        <v>1074241.0</v>
      </c>
      <c r="H59" s="26">
        <v>915543.0</v>
      </c>
      <c r="I59" s="14">
        <v>4131929.02221</v>
      </c>
      <c r="J59" s="26">
        <v>949583.0</v>
      </c>
      <c r="K59" s="26">
        <v>1244051.0</v>
      </c>
      <c r="L59" s="26">
        <v>1204491.0</v>
      </c>
      <c r="M59" s="26">
        <v>1178456.0</v>
      </c>
      <c r="N59" s="14">
        <v>4576581.0</v>
      </c>
      <c r="O59" s="26">
        <v>1106077.0</v>
      </c>
      <c r="P59" s="26">
        <v>1325647.0</v>
      </c>
      <c r="Q59" s="26">
        <v>1246111.0</v>
      </c>
      <c r="R59" s="26">
        <v>907784.0</v>
      </c>
      <c r="S59" s="14">
        <v>4585619.0</v>
      </c>
      <c r="T59" s="26">
        <v>1476968.0</v>
      </c>
      <c r="U59" s="1"/>
      <c r="V59" s="36">
        <f t="shared" ref="V59:X59" si="125">IFERROR(B59/B$4, "")</f>
        <v>0.4451729556</v>
      </c>
      <c r="W59" s="16">
        <f t="shared" si="125"/>
        <v>0.4584992366</v>
      </c>
      <c r="X59" s="16">
        <f t="shared" si="125"/>
        <v>0.4179794202</v>
      </c>
      <c r="Y59" s="16">
        <f t="shared" ref="Y59:Y61" si="128">IFERROR(I59/I$4, "")</f>
        <v>0.4164725822</v>
      </c>
      <c r="Z59" s="16">
        <f t="shared" ref="Z59:Z61" si="129">IFERROR(N59/N$4, "")</f>
        <v>0.4328662074</v>
      </c>
      <c r="AA59" s="16">
        <f t="shared" ref="AA59:AA61" si="130">IFERROR(S59/S$4, "")</f>
        <v>0.4123185223</v>
      </c>
      <c r="AB59" s="16"/>
      <c r="AC59" s="16">
        <f t="shared" ref="AC59:AD59" si="126">IFERROR((C59/B59)-1, "")</f>
        <v>0.1360191836</v>
      </c>
      <c r="AD59" s="16">
        <f t="shared" si="126"/>
        <v>-0.1040979229</v>
      </c>
      <c r="AE59" s="16">
        <f t="shared" si="8"/>
        <v>-0.02227323905</v>
      </c>
      <c r="AF59" s="16">
        <f t="shared" si="9"/>
        <v>0.1076136534</v>
      </c>
      <c r="AG59" s="16">
        <f t="shared" si="10"/>
        <v>0.001974836674</v>
      </c>
      <c r="AH59" s="16"/>
      <c r="AI59" s="22"/>
    </row>
    <row r="60">
      <c r="A60" s="33" t="s">
        <v>87</v>
      </c>
      <c r="B60" s="37">
        <v>0.49534946004061997</v>
      </c>
      <c r="C60" s="37">
        <v>0.5100532598404627</v>
      </c>
      <c r="D60" s="37">
        <v>0.46482516551061387</v>
      </c>
      <c r="E60" s="38">
        <v>0.4930528750837332</v>
      </c>
      <c r="F60" s="38">
        <v>0.4720579386267376</v>
      </c>
      <c r="G60" s="38">
        <v>0.47781845193086087</v>
      </c>
      <c r="H60" s="38">
        <v>0.40832661740812415</v>
      </c>
      <c r="I60" s="37">
        <v>0.4627007228098466</v>
      </c>
      <c r="J60" s="38">
        <v>0.42748436971037146</v>
      </c>
      <c r="K60" s="38">
        <v>0.5063263782786749</v>
      </c>
      <c r="L60" s="38">
        <v>0.4944714842383727</v>
      </c>
      <c r="M60" s="38">
        <v>0.4911850150674597</v>
      </c>
      <c r="N60" s="37">
        <v>0.48106337247363423</v>
      </c>
      <c r="O60" s="38">
        <v>0.4631902457082507</v>
      </c>
      <c r="P60" s="38">
        <v>0.5214369215858421</v>
      </c>
      <c r="Q60" s="38">
        <v>0.5012616912092726</v>
      </c>
      <c r="R60" s="38">
        <v>0.342298045118679</v>
      </c>
      <c r="S60" s="37">
        <v>0.4554544707821943</v>
      </c>
      <c r="T60" s="38">
        <v>0.5140106611670626</v>
      </c>
      <c r="U60" s="1"/>
      <c r="V60" s="16">
        <f t="shared" ref="V60:X60" si="127">IFERROR(B60/B$4, "")</f>
        <v>0.00000005310694573</v>
      </c>
      <c r="W60" s="16">
        <f t="shared" si="127"/>
        <v>0.00000004957689661</v>
      </c>
      <c r="X60" s="16">
        <f t="shared" si="127"/>
        <v>0.00000004597367077</v>
      </c>
      <c r="Y60" s="16">
        <f t="shared" si="128"/>
        <v>0.00000004663733664</v>
      </c>
      <c r="Z60" s="16">
        <f t="shared" si="129"/>
        <v>0.0000000455003588</v>
      </c>
      <c r="AA60" s="16">
        <f t="shared" si="130"/>
        <v>0.00000004095244598</v>
      </c>
      <c r="AB60" s="16"/>
      <c r="AC60" s="16">
        <f t="shared" ref="AC60:AD60" si="131">IFERROR((C60/B60)-1, "")</f>
        <v>0.02968368997</v>
      </c>
      <c r="AD60" s="16">
        <f t="shared" si="131"/>
        <v>-0.08867327766</v>
      </c>
      <c r="AE60" s="16">
        <f t="shared" si="8"/>
        <v>-0.004570412401</v>
      </c>
      <c r="AF60" s="16">
        <f t="shared" si="9"/>
        <v>0.03968580285</v>
      </c>
      <c r="AG60" s="16">
        <f t="shared" si="10"/>
        <v>-0.0532339462</v>
      </c>
      <c r="AH60" s="16"/>
      <c r="AI60" s="22"/>
    </row>
    <row r="61">
      <c r="A61" s="24" t="s">
        <v>90</v>
      </c>
      <c r="B61" s="28">
        <v>-1589.0</v>
      </c>
      <c r="C61" s="28">
        <v>-8.0</v>
      </c>
      <c r="D61" s="20">
        <v>541.0</v>
      </c>
      <c r="E61" s="29">
        <v>107.0</v>
      </c>
      <c r="F61" s="29">
        <v>148.0</v>
      </c>
      <c r="G61" s="29">
        <v>66.0</v>
      </c>
      <c r="H61" s="29">
        <v>262.0</v>
      </c>
      <c r="I61" s="20">
        <v>583.0</v>
      </c>
      <c r="J61" s="29">
        <v>-14.0</v>
      </c>
      <c r="K61" s="29">
        <v>-8.0</v>
      </c>
      <c r="L61" s="29">
        <v>42.0</v>
      </c>
      <c r="M61" s="29">
        <v>90.0</v>
      </c>
      <c r="N61" s="20">
        <v>110.0</v>
      </c>
      <c r="O61" s="29">
        <v>46.0</v>
      </c>
      <c r="P61" s="29">
        <v>1334.0</v>
      </c>
      <c r="Q61" s="29">
        <v>-197.0</v>
      </c>
      <c r="R61" s="29">
        <v>70.0</v>
      </c>
      <c r="S61" s="20">
        <v>1253.0</v>
      </c>
      <c r="T61" s="29">
        <v>166.0</v>
      </c>
      <c r="U61" s="1"/>
      <c r="V61" s="16">
        <f t="shared" ref="V61:X61" si="132">IFERROR(B61/B$4, "")</f>
        <v>-0.0001703583905</v>
      </c>
      <c r="W61" s="16">
        <f t="shared" si="132"/>
        <v>-0.0000007775956044</v>
      </c>
      <c r="X61" s="16">
        <f t="shared" si="132"/>
        <v>0.00005350776535</v>
      </c>
      <c r="Y61" s="16">
        <f t="shared" si="128"/>
        <v>0.00005876275079</v>
      </c>
      <c r="Z61" s="16">
        <f t="shared" si="129"/>
        <v>0.0000104041167</v>
      </c>
      <c r="AA61" s="16">
        <f t="shared" si="130"/>
        <v>0.0001126642027</v>
      </c>
      <c r="AB61" s="16"/>
      <c r="AC61" s="16">
        <f t="shared" ref="AC61:AD61" si="133">IFERROR((C61/B61)-1, "")</f>
        <v>-0.994965387</v>
      </c>
      <c r="AD61" s="16">
        <f t="shared" si="133"/>
        <v>-68.625</v>
      </c>
      <c r="AE61" s="16">
        <f t="shared" si="8"/>
        <v>0.07763401109</v>
      </c>
      <c r="AF61" s="16">
        <f t="shared" si="9"/>
        <v>-0.8113207547</v>
      </c>
      <c r="AG61" s="16">
        <f t="shared" si="10"/>
        <v>10.39090909</v>
      </c>
      <c r="AH61" s="16"/>
      <c r="AI61" s="22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6"/>
      <c r="W62" s="16"/>
      <c r="X62" s="16"/>
      <c r="Y62" s="16"/>
      <c r="Z62" s="16"/>
      <c r="AA62" s="16"/>
      <c r="AB62" s="16"/>
      <c r="AC62" s="16" t="str">
        <f t="shared" ref="AC62:AD62" si="134">IFERROR((C62/B62)-1, "")</f>
        <v/>
      </c>
      <c r="AD62" s="16" t="str">
        <f t="shared" si="134"/>
        <v/>
      </c>
      <c r="AE62" s="16" t="str">
        <f t="shared" si="8"/>
        <v/>
      </c>
      <c r="AF62" s="16" t="str">
        <f t="shared" si="9"/>
        <v/>
      </c>
      <c r="AG62" s="16" t="str">
        <f t="shared" si="10"/>
        <v/>
      </c>
      <c r="AH62" s="16"/>
      <c r="AI62" s="22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6"/>
      <c r="W63" s="16"/>
      <c r="X63" s="16"/>
      <c r="Y63" s="16"/>
      <c r="Z63" s="16"/>
      <c r="AA63" s="16"/>
      <c r="AB63" s="16"/>
      <c r="AC63" s="16" t="str">
        <f t="shared" ref="AC63:AD63" si="135">IFERROR((C63/B63)-1, "")</f>
        <v/>
      </c>
      <c r="AD63" s="16" t="str">
        <f t="shared" si="135"/>
        <v/>
      </c>
      <c r="AE63" s="16" t="str">
        <f t="shared" si="8"/>
        <v/>
      </c>
      <c r="AF63" s="16" t="str">
        <f t="shared" si="9"/>
        <v/>
      </c>
      <c r="AG63" s="16" t="str">
        <f t="shared" si="10"/>
        <v/>
      </c>
      <c r="AH63" s="16"/>
      <c r="AI63" s="22"/>
    </row>
    <row r="64">
      <c r="A64" s="39" t="s">
        <v>91</v>
      </c>
      <c r="B64" s="3">
        <v>2020.0</v>
      </c>
      <c r="C64" s="3">
        <v>2021.0</v>
      </c>
      <c r="D64" s="3">
        <v>2022.0</v>
      </c>
      <c r="E64" s="4" t="s">
        <v>1</v>
      </c>
      <c r="F64" s="4" t="s">
        <v>2</v>
      </c>
      <c r="G64" s="4" t="s">
        <v>3</v>
      </c>
      <c r="H64" s="4" t="s">
        <v>4</v>
      </c>
      <c r="I64" s="4">
        <v>2023.0</v>
      </c>
      <c r="J64" s="4" t="s">
        <v>5</v>
      </c>
      <c r="K64" s="4" t="s">
        <v>6</v>
      </c>
      <c r="L64" s="4" t="s">
        <v>7</v>
      </c>
      <c r="M64" s="4" t="s">
        <v>8</v>
      </c>
      <c r="N64" s="4">
        <v>2024.0</v>
      </c>
      <c r="O64" s="4" t="s">
        <v>9</v>
      </c>
      <c r="P64" s="4" t="s">
        <v>10</v>
      </c>
      <c r="Q64" s="4" t="s">
        <v>11</v>
      </c>
      <c r="R64" s="4" t="s">
        <v>12</v>
      </c>
      <c r="S64" s="4">
        <v>2025.0</v>
      </c>
      <c r="T64" s="4" t="s">
        <v>13</v>
      </c>
      <c r="U64" s="1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22"/>
    </row>
    <row r="65">
      <c r="A65" s="10"/>
      <c r="B65" s="3">
        <v>2020.0</v>
      </c>
      <c r="C65" s="3">
        <v>2021.0</v>
      </c>
      <c r="D65" s="3">
        <v>2022.0</v>
      </c>
      <c r="E65" s="4" t="s">
        <v>16</v>
      </c>
      <c r="F65" s="4" t="s">
        <v>17</v>
      </c>
      <c r="G65" s="4" t="s">
        <v>18</v>
      </c>
      <c r="H65" s="4" t="s">
        <v>19</v>
      </c>
      <c r="I65" s="4">
        <v>2023.0</v>
      </c>
      <c r="J65" s="4" t="s">
        <v>20</v>
      </c>
      <c r="K65" s="4" t="s">
        <v>21</v>
      </c>
      <c r="L65" s="4" t="s">
        <v>22</v>
      </c>
      <c r="M65" s="4" t="s">
        <v>23</v>
      </c>
      <c r="N65" s="4">
        <v>2024.0</v>
      </c>
      <c r="O65" s="4" t="s">
        <v>24</v>
      </c>
      <c r="P65" s="4" t="s">
        <v>25</v>
      </c>
      <c r="Q65" s="4" t="s">
        <v>26</v>
      </c>
      <c r="R65" s="4" t="s">
        <v>27</v>
      </c>
      <c r="S65" s="4">
        <v>2025.0</v>
      </c>
      <c r="T65" s="4" t="s">
        <v>28</v>
      </c>
      <c r="U65" s="1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22"/>
    </row>
    <row r="66">
      <c r="A66" s="18" t="s">
        <v>92</v>
      </c>
      <c r="B66" s="27">
        <v>6721730.0</v>
      </c>
      <c r="C66" s="27">
        <v>7377837.0</v>
      </c>
      <c r="D66" s="27">
        <v>6628618.0</v>
      </c>
      <c r="E66" s="26">
        <v>1617146.0</v>
      </c>
      <c r="F66" s="26">
        <f t="shared" ref="F66:G66" si="136">F39-F29</f>
        <v>1640200</v>
      </c>
      <c r="G66" s="26">
        <f t="shared" si="136"/>
        <v>1627644</v>
      </c>
      <c r="H66" s="26">
        <v>1449256.0</v>
      </c>
      <c r="I66" s="27">
        <v>6334246.0</v>
      </c>
      <c r="J66" s="26">
        <v>1574154.0</v>
      </c>
      <c r="K66" s="26">
        <v>1816774.0</v>
      </c>
      <c r="L66" s="26">
        <v>1704587.0</v>
      </c>
      <c r="M66" s="26">
        <v>1594316.0</v>
      </c>
      <c r="N66" s="27">
        <v>6689831.0</v>
      </c>
      <c r="O66" s="26">
        <v>1657000.0</v>
      </c>
      <c r="P66" s="26">
        <v>1794792.0</v>
      </c>
      <c r="Q66" s="26">
        <v>1740719.0</v>
      </c>
      <c r="R66" s="26">
        <v>1826919.0</v>
      </c>
      <c r="S66" s="27">
        <v>7019430.0</v>
      </c>
      <c r="T66" s="26">
        <v>2050421.0</v>
      </c>
      <c r="U66" s="40"/>
      <c r="V66" s="32">
        <f t="shared" ref="V66:X66" si="137">IFERROR(B66/B$4, "")</f>
        <v>0.7206438668</v>
      </c>
      <c r="W66" s="32">
        <f t="shared" si="137"/>
        <v>0.7171217027</v>
      </c>
      <c r="X66" s="32">
        <f t="shared" si="137"/>
        <v>0.655605428</v>
      </c>
      <c r="Y66" s="32">
        <f t="shared" ref="Y66:Y80" si="140">IFERROR(I66/I$4, "")</f>
        <v>0.6384523484</v>
      </c>
      <c r="Z66" s="32">
        <f t="shared" ref="Z66:Z80" si="141">IFERROR(N66/N$4, "")</f>
        <v>0.6327434767</v>
      </c>
      <c r="AA66" s="32">
        <f t="shared" ref="AA66:AA80" si="142">IFERROR(S66/S$4, "")</f>
        <v>0.6311560129</v>
      </c>
      <c r="AB66" s="32"/>
      <c r="AC66" s="32">
        <f t="shared" ref="AC66:AD66" si="138">IFERROR((C66/B66)-1, "")</f>
        <v>0.09760984151</v>
      </c>
      <c r="AD66" s="32">
        <f t="shared" si="138"/>
        <v>-0.1015499529</v>
      </c>
      <c r="AE66" s="32">
        <f t="shared" ref="AE66:AE82" si="144">IFERROR((I66/D66)-1, "")</f>
        <v>-0.04440925695</v>
      </c>
      <c r="AF66" s="32">
        <f t="shared" ref="AF66:AF82" si="145">IFERROR((N66/I66)-1, "")</f>
        <v>0.05613691038</v>
      </c>
      <c r="AG66" s="32">
        <f t="shared" ref="AG66:AG82" si="146">IFERROR((S66/N66)-1, "")</f>
        <v>0.04926865866</v>
      </c>
      <c r="AH66" s="32"/>
      <c r="AI66" s="41"/>
    </row>
    <row r="67" hidden="1" outlineLevel="1">
      <c r="A67" s="24" t="s">
        <v>93</v>
      </c>
      <c r="B67" s="28">
        <v>0.0</v>
      </c>
      <c r="C67" s="28">
        <v>0.0</v>
      </c>
      <c r="D67" s="28">
        <v>0.0</v>
      </c>
      <c r="E67" s="29">
        <v>0.0</v>
      </c>
      <c r="F67" s="29">
        <v>0.0</v>
      </c>
      <c r="G67" s="29">
        <v>0.0</v>
      </c>
      <c r="H67" s="29">
        <v>0.0</v>
      </c>
      <c r="I67" s="28">
        <v>0.0</v>
      </c>
      <c r="J67" s="29">
        <v>0.0</v>
      </c>
      <c r="K67" s="29">
        <v>0.0</v>
      </c>
      <c r="L67" s="29">
        <v>0.0</v>
      </c>
      <c r="M67" s="29">
        <v>0.0</v>
      </c>
      <c r="N67" s="28">
        <v>0.0</v>
      </c>
      <c r="O67" s="29">
        <v>0.0</v>
      </c>
      <c r="P67" s="29">
        <v>0.0</v>
      </c>
      <c r="Q67" s="29">
        <v>0.0</v>
      </c>
      <c r="R67" s="29">
        <v>0.0</v>
      </c>
      <c r="S67" s="28">
        <v>0.0</v>
      </c>
      <c r="T67" s="29">
        <v>0.0</v>
      </c>
      <c r="U67" s="1"/>
      <c r="V67" s="16">
        <f t="shared" ref="V67:X67" si="139">IFERROR(B67/B$4, "")</f>
        <v>0</v>
      </c>
      <c r="W67" s="16">
        <f t="shared" si="139"/>
        <v>0</v>
      </c>
      <c r="X67" s="16">
        <f t="shared" si="139"/>
        <v>0</v>
      </c>
      <c r="Y67" s="16">
        <f t="shared" si="140"/>
        <v>0</v>
      </c>
      <c r="Z67" s="16">
        <f t="shared" si="141"/>
        <v>0</v>
      </c>
      <c r="AA67" s="16">
        <f t="shared" si="142"/>
        <v>0</v>
      </c>
      <c r="AB67" s="16"/>
      <c r="AC67" s="16" t="str">
        <f t="shared" ref="AC67:AD67" si="143">IFERROR((C67/B67)-1, "")</f>
        <v/>
      </c>
      <c r="AD67" s="16" t="str">
        <f t="shared" si="143"/>
        <v/>
      </c>
      <c r="AE67" s="16" t="str">
        <f t="shared" si="144"/>
        <v/>
      </c>
      <c r="AF67" s="16" t="str">
        <f t="shared" si="145"/>
        <v/>
      </c>
      <c r="AG67" s="16" t="str">
        <f t="shared" si="146"/>
        <v/>
      </c>
      <c r="AH67" s="16"/>
      <c r="AI67" s="22"/>
    </row>
    <row r="68" hidden="1" outlineLevel="1">
      <c r="A68" s="24" t="s">
        <v>94</v>
      </c>
      <c r="B68" s="28">
        <v>0.0</v>
      </c>
      <c r="C68" s="28">
        <v>0.0</v>
      </c>
      <c r="D68" s="28">
        <v>0.0</v>
      </c>
      <c r="E68" s="29">
        <v>0.0</v>
      </c>
      <c r="F68" s="29">
        <v>0.0</v>
      </c>
      <c r="G68" s="29">
        <v>0.0</v>
      </c>
      <c r="H68" s="29">
        <v>0.0</v>
      </c>
      <c r="I68" s="28">
        <v>0.0</v>
      </c>
      <c r="J68" s="29">
        <v>0.0</v>
      </c>
      <c r="K68" s="29">
        <v>0.0</v>
      </c>
      <c r="L68" s="29">
        <v>0.0</v>
      </c>
      <c r="M68" s="29">
        <v>0.0</v>
      </c>
      <c r="N68" s="28">
        <v>0.0</v>
      </c>
      <c r="O68" s="29">
        <v>0.0</v>
      </c>
      <c r="P68" s="29">
        <v>0.0</v>
      </c>
      <c r="Q68" s="29">
        <v>0.0</v>
      </c>
      <c r="R68" s="29">
        <v>0.0</v>
      </c>
      <c r="S68" s="28">
        <v>0.0</v>
      </c>
      <c r="T68" s="29">
        <v>0.0</v>
      </c>
      <c r="U68" s="1"/>
      <c r="V68" s="16">
        <f t="shared" ref="V68:X68" si="147">IFERROR(B68/B$4, "")</f>
        <v>0</v>
      </c>
      <c r="W68" s="16">
        <f t="shared" si="147"/>
        <v>0</v>
      </c>
      <c r="X68" s="16">
        <f t="shared" si="147"/>
        <v>0</v>
      </c>
      <c r="Y68" s="16">
        <f t="shared" si="140"/>
        <v>0</v>
      </c>
      <c r="Z68" s="16">
        <f t="shared" si="141"/>
        <v>0</v>
      </c>
      <c r="AA68" s="16">
        <f t="shared" si="142"/>
        <v>0</v>
      </c>
      <c r="AB68" s="16"/>
      <c r="AC68" s="16" t="str">
        <f t="shared" ref="AC68:AD68" si="148">IFERROR((C68/B68)-1, "")</f>
        <v/>
      </c>
      <c r="AD68" s="16" t="str">
        <f t="shared" si="148"/>
        <v/>
      </c>
      <c r="AE68" s="16" t="str">
        <f t="shared" si="144"/>
        <v/>
      </c>
      <c r="AF68" s="16" t="str">
        <f t="shared" si="145"/>
        <v/>
      </c>
      <c r="AG68" s="16" t="str">
        <f t="shared" si="146"/>
        <v/>
      </c>
      <c r="AH68" s="16"/>
      <c r="AI68" s="22"/>
    </row>
    <row r="69" hidden="1" outlineLevel="1">
      <c r="A69" s="18" t="s">
        <v>95</v>
      </c>
      <c r="B69" s="27">
        <v>-338658.26813</v>
      </c>
      <c r="C69" s="27">
        <v>-104029.29867000002</v>
      </c>
      <c r="D69" s="27">
        <v>60858.33063</v>
      </c>
      <c r="E69" s="26">
        <v>4998.57483</v>
      </c>
      <c r="F69" s="26">
        <v>-8198.00088</v>
      </c>
      <c r="G69" s="26">
        <f>SUM(G70:G78)</f>
        <v>-9899.09481</v>
      </c>
      <c r="H69" s="26">
        <v>10332.00733</v>
      </c>
      <c r="I69" s="27">
        <v>-2766.51353</v>
      </c>
      <c r="J69" s="26">
        <v>-663.5436700000009</v>
      </c>
      <c r="K69" s="26">
        <f t="shared" ref="K69:L69" si="149">SUM(K70:K78)</f>
        <v>-47627.64949</v>
      </c>
      <c r="L69" s="26">
        <f t="shared" si="149"/>
        <v>1723.7369</v>
      </c>
      <c r="M69" s="26">
        <v>3287.197250000001</v>
      </c>
      <c r="N69" s="27">
        <v>-43280.39902</v>
      </c>
      <c r="O69" s="26">
        <v>3158.08</v>
      </c>
      <c r="P69" s="26">
        <v>-73718.18000000001</v>
      </c>
      <c r="Q69" s="26">
        <v>-13674.0445699994</v>
      </c>
      <c r="R69" s="26">
        <v>2773.41423</v>
      </c>
      <c r="S69" s="27">
        <v>-81460.73033999941</v>
      </c>
      <c r="T69" s="26">
        <v>6782.4363104018</v>
      </c>
      <c r="U69" s="1"/>
      <c r="V69" s="16">
        <f t="shared" ref="V69:X69" si="150">IFERROR(B69/B$4, "")</f>
        <v>-0.03630791535</v>
      </c>
      <c r="W69" s="16">
        <f t="shared" si="150"/>
        <v>-0.01011159067</v>
      </c>
      <c r="X69" s="16">
        <f t="shared" si="150"/>
        <v>0.006019211229</v>
      </c>
      <c r="Y69" s="16">
        <f t="shared" si="140"/>
        <v>-0.0002788472472</v>
      </c>
      <c r="Z69" s="16">
        <f t="shared" si="141"/>
        <v>-0.004093584748</v>
      </c>
      <c r="AA69" s="16">
        <f t="shared" si="142"/>
        <v>-0.007324587577</v>
      </c>
      <c r="AB69" s="16"/>
      <c r="AC69" s="16">
        <f t="shared" ref="AC69:AD69" si="151">IFERROR((C69/B69)-1, "")</f>
        <v>-0.6928192563</v>
      </c>
      <c r="AD69" s="16">
        <f t="shared" si="151"/>
        <v>-1.585011448</v>
      </c>
      <c r="AE69" s="16">
        <f t="shared" si="144"/>
        <v>-1.045458255</v>
      </c>
      <c r="AF69" s="16">
        <f t="shared" si="145"/>
        <v>14.64438364</v>
      </c>
      <c r="AG69" s="16">
        <f t="shared" si="146"/>
        <v>0.8821621839</v>
      </c>
      <c r="AH69" s="16"/>
      <c r="AI69" s="22"/>
    </row>
    <row r="70" hidden="1" outlineLevel="1">
      <c r="A70" s="24" t="s">
        <v>96</v>
      </c>
      <c r="B70" s="28">
        <v>-270290.38093</v>
      </c>
      <c r="C70" s="28">
        <v>-71451.3076</v>
      </c>
      <c r="D70" s="28">
        <v>0.0</v>
      </c>
      <c r="E70" s="29">
        <v>0.0</v>
      </c>
      <c r="F70" s="29">
        <v>0.0</v>
      </c>
      <c r="G70" s="29">
        <v>0.0</v>
      </c>
      <c r="H70" s="29">
        <v>0.0</v>
      </c>
      <c r="I70" s="28">
        <v>0.0</v>
      </c>
      <c r="J70" s="29">
        <v>-13883.54432</v>
      </c>
      <c r="K70" s="29">
        <v>-43217.88472</v>
      </c>
      <c r="L70" s="29">
        <v>0.0</v>
      </c>
      <c r="M70" s="29">
        <v>-23449.80275</v>
      </c>
      <c r="N70" s="28">
        <v>-80551.23179</v>
      </c>
      <c r="O70" s="29">
        <v>0.0</v>
      </c>
      <c r="P70" s="29">
        <v>-75255.99455</v>
      </c>
      <c r="Q70" s="29">
        <v>0.0</v>
      </c>
      <c r="R70" s="29">
        <v>0.0</v>
      </c>
      <c r="S70" s="28">
        <v>-75255.99455</v>
      </c>
      <c r="T70" s="29">
        <v>0.0</v>
      </c>
      <c r="U70" s="1"/>
      <c r="V70" s="16">
        <f t="shared" ref="V70:X70" si="152">IFERROR(B70/B$4, "")</f>
        <v>-0.028978121</v>
      </c>
      <c r="W70" s="16">
        <f t="shared" si="152"/>
        <v>-0.00694502784</v>
      </c>
      <c r="X70" s="16">
        <f t="shared" si="152"/>
        <v>0</v>
      </c>
      <c r="Y70" s="16">
        <f t="shared" si="140"/>
        <v>0</v>
      </c>
      <c r="Z70" s="16">
        <f t="shared" si="141"/>
        <v>-0.007618767418</v>
      </c>
      <c r="AA70" s="16">
        <f t="shared" si="142"/>
        <v>-0.006766685254</v>
      </c>
      <c r="AB70" s="16"/>
      <c r="AC70" s="16">
        <f t="shared" ref="AC70:AD70" si="153">IFERROR((C70/B70)-1, "")</f>
        <v>-0.735649832</v>
      </c>
      <c r="AD70" s="16">
        <f t="shared" si="153"/>
        <v>-1</v>
      </c>
      <c r="AE70" s="16" t="str">
        <f t="shared" si="144"/>
        <v/>
      </c>
      <c r="AF70" s="16" t="str">
        <f t="shared" si="145"/>
        <v/>
      </c>
      <c r="AG70" s="16">
        <f t="shared" si="146"/>
        <v>-0.06573750795</v>
      </c>
      <c r="AH70" s="16"/>
      <c r="AI70" s="22"/>
    </row>
    <row r="71" hidden="1" outlineLevel="1">
      <c r="A71" s="24" t="s">
        <v>97</v>
      </c>
      <c r="B71" s="28">
        <v>-68367.8872</v>
      </c>
      <c r="C71" s="28">
        <v>1856.0</v>
      </c>
      <c r="D71" s="28">
        <v>0.0</v>
      </c>
      <c r="E71" s="29">
        <v>0.0</v>
      </c>
      <c r="F71" s="29">
        <v>0.0</v>
      </c>
      <c r="G71" s="29">
        <v>0.0</v>
      </c>
      <c r="H71" s="29">
        <v>0.0</v>
      </c>
      <c r="I71" s="28">
        <v>0.0</v>
      </c>
      <c r="J71" s="29">
        <v>0.0</v>
      </c>
      <c r="K71" s="29">
        <v>0.0</v>
      </c>
      <c r="L71" s="29">
        <v>0.0</v>
      </c>
      <c r="M71" s="29">
        <v>0.0</v>
      </c>
      <c r="N71" s="28">
        <v>0.0</v>
      </c>
      <c r="O71" s="29">
        <v>0.0</v>
      </c>
      <c r="P71" s="29">
        <v>0.0</v>
      </c>
      <c r="Q71" s="29">
        <v>-15690.8994799994</v>
      </c>
      <c r="R71" s="29">
        <v>0.0</v>
      </c>
      <c r="S71" s="28">
        <v>-15690.8994799994</v>
      </c>
      <c r="T71" s="29">
        <v>0.0</v>
      </c>
      <c r="U71" s="1"/>
      <c r="V71" s="16">
        <f t="shared" ref="V71:X71" si="154">IFERROR(B71/B$4, "")</f>
        <v>-0.007329794353</v>
      </c>
      <c r="W71" s="16">
        <f t="shared" si="154"/>
        <v>0.0001804021802</v>
      </c>
      <c r="X71" s="16">
        <f t="shared" si="154"/>
        <v>0</v>
      </c>
      <c r="Y71" s="16">
        <f t="shared" si="140"/>
        <v>0</v>
      </c>
      <c r="Z71" s="16">
        <f t="shared" si="141"/>
        <v>0</v>
      </c>
      <c r="AA71" s="16">
        <f t="shared" si="142"/>
        <v>-0.001410856089</v>
      </c>
      <c r="AB71" s="16"/>
      <c r="AC71" s="16">
        <f t="shared" ref="AC71:AD71" si="155">IFERROR((C71/B71)-1, "")</f>
        <v>-1.027147248</v>
      </c>
      <c r="AD71" s="16">
        <f t="shared" si="155"/>
        <v>-1</v>
      </c>
      <c r="AE71" s="16" t="str">
        <f t="shared" si="144"/>
        <v/>
      </c>
      <c r="AF71" s="16" t="str">
        <f t="shared" si="145"/>
        <v/>
      </c>
      <c r="AG71" s="16" t="str">
        <f t="shared" si="146"/>
        <v/>
      </c>
      <c r="AH71" s="16"/>
      <c r="AI71" s="22"/>
    </row>
    <row r="72" hidden="1" outlineLevel="1">
      <c r="A72" s="24" t="s">
        <v>98</v>
      </c>
      <c r="B72" s="28">
        <v>0.0</v>
      </c>
      <c r="C72" s="28">
        <v>-112291.0157</v>
      </c>
      <c r="D72" s="28">
        <v>0.0</v>
      </c>
      <c r="E72" s="29">
        <v>0.0</v>
      </c>
      <c r="F72" s="29">
        <v>0.0</v>
      </c>
      <c r="G72" s="29">
        <v>0.0</v>
      </c>
      <c r="H72" s="29">
        <v>0.0</v>
      </c>
      <c r="I72" s="28">
        <v>0.0</v>
      </c>
      <c r="J72" s="29">
        <v>0.0</v>
      </c>
      <c r="K72" s="29">
        <v>0.0</v>
      </c>
      <c r="L72" s="29">
        <v>0.0</v>
      </c>
      <c r="M72" s="29">
        <v>0.0</v>
      </c>
      <c r="N72" s="28">
        <v>0.0</v>
      </c>
      <c r="O72" s="29">
        <v>0.0</v>
      </c>
      <c r="P72" s="29">
        <v>0.0</v>
      </c>
      <c r="Q72" s="29">
        <v>0.0</v>
      </c>
      <c r="R72" s="29">
        <v>0.0</v>
      </c>
      <c r="S72" s="28">
        <v>0.0</v>
      </c>
      <c r="T72" s="29">
        <v>0.0</v>
      </c>
      <c r="U72" s="1"/>
      <c r="V72" s="16">
        <f t="shared" ref="V72:X72" si="156">IFERROR(B72/B$4, "")</f>
        <v>0</v>
      </c>
      <c r="W72" s="16">
        <f t="shared" si="156"/>
        <v>-0.01091462503</v>
      </c>
      <c r="X72" s="16">
        <f t="shared" si="156"/>
        <v>0</v>
      </c>
      <c r="Y72" s="16">
        <f t="shared" si="140"/>
        <v>0</v>
      </c>
      <c r="Z72" s="16">
        <f t="shared" si="141"/>
        <v>0</v>
      </c>
      <c r="AA72" s="16">
        <f t="shared" si="142"/>
        <v>0</v>
      </c>
      <c r="AB72" s="16"/>
      <c r="AC72" s="16" t="str">
        <f t="shared" ref="AC72:AD72" si="157">IFERROR((C72/B72)-1, "")</f>
        <v/>
      </c>
      <c r="AD72" s="16">
        <f t="shared" si="157"/>
        <v>-1</v>
      </c>
      <c r="AE72" s="16" t="str">
        <f t="shared" si="144"/>
        <v/>
      </c>
      <c r="AF72" s="16" t="str">
        <f t="shared" si="145"/>
        <v/>
      </c>
      <c r="AG72" s="16" t="str">
        <f t="shared" si="146"/>
        <v/>
      </c>
      <c r="AH72" s="16"/>
      <c r="AI72" s="22"/>
    </row>
    <row r="73" hidden="1" outlineLevel="1">
      <c r="A73" s="24" t="s">
        <v>99</v>
      </c>
      <c r="B73" s="28">
        <v>0.0</v>
      </c>
      <c r="C73" s="28">
        <v>0.0</v>
      </c>
      <c r="D73" s="28">
        <v>22508.0</v>
      </c>
      <c r="E73" s="29">
        <v>0.0</v>
      </c>
      <c r="F73" s="29">
        <v>0.0</v>
      </c>
      <c r="G73" s="29">
        <v>0.0</v>
      </c>
      <c r="H73" s="29">
        <v>0.0</v>
      </c>
      <c r="I73" s="28">
        <v>0.0</v>
      </c>
      <c r="J73" s="29">
        <v>0.0</v>
      </c>
      <c r="K73" s="29">
        <v>0.0</v>
      </c>
      <c r="L73" s="29">
        <v>0.0</v>
      </c>
      <c r="M73" s="29">
        <v>0.0</v>
      </c>
      <c r="N73" s="28">
        <v>0.0</v>
      </c>
      <c r="O73" s="29">
        <v>0.0</v>
      </c>
      <c r="P73" s="29">
        <v>0.0</v>
      </c>
      <c r="Q73" s="29">
        <v>0.0</v>
      </c>
      <c r="R73" s="29">
        <v>0.0</v>
      </c>
      <c r="S73" s="28">
        <v>0.0</v>
      </c>
      <c r="T73" s="29">
        <v>0.0</v>
      </c>
      <c r="U73" s="1"/>
      <c r="V73" s="16">
        <f t="shared" ref="V73:X73" si="158">IFERROR(B73/B$4, "")</f>
        <v>0</v>
      </c>
      <c r="W73" s="16">
        <f t="shared" si="158"/>
        <v>0</v>
      </c>
      <c r="X73" s="16">
        <f t="shared" si="158"/>
        <v>0.002226160411</v>
      </c>
      <c r="Y73" s="16">
        <f t="shared" si="140"/>
        <v>0</v>
      </c>
      <c r="Z73" s="16">
        <f t="shared" si="141"/>
        <v>0</v>
      </c>
      <c r="AA73" s="16">
        <f t="shared" si="142"/>
        <v>0</v>
      </c>
      <c r="AB73" s="16"/>
      <c r="AC73" s="16" t="str">
        <f t="shared" ref="AC73:AD73" si="159">IFERROR((C73/B73)-1, "")</f>
        <v/>
      </c>
      <c r="AD73" s="16" t="str">
        <f t="shared" si="159"/>
        <v/>
      </c>
      <c r="AE73" s="16">
        <f t="shared" si="144"/>
        <v>-1</v>
      </c>
      <c r="AF73" s="16" t="str">
        <f t="shared" si="145"/>
        <v/>
      </c>
      <c r="AG73" s="16" t="str">
        <f t="shared" si="146"/>
        <v/>
      </c>
      <c r="AH73" s="16"/>
      <c r="AI73" s="22"/>
    </row>
    <row r="74" hidden="1" outlineLevel="1">
      <c r="A74" s="24" t="s">
        <v>100</v>
      </c>
      <c r="B74" s="28">
        <v>0.0</v>
      </c>
      <c r="C74" s="28">
        <v>0.0</v>
      </c>
      <c r="D74" s="28">
        <v>0.0</v>
      </c>
      <c r="E74" s="29">
        <v>0.0</v>
      </c>
      <c r="F74" s="29">
        <v>-11351.05674</v>
      </c>
      <c r="G74" s="29">
        <v>-10933.65122</v>
      </c>
      <c r="H74" s="29">
        <v>0.0</v>
      </c>
      <c r="I74" s="28">
        <v>-22284.70796</v>
      </c>
      <c r="J74" s="29">
        <v>0.0</v>
      </c>
      <c r="K74" s="29">
        <v>0.0</v>
      </c>
      <c r="L74" s="29">
        <v>0.0</v>
      </c>
      <c r="M74" s="29">
        <v>0.0</v>
      </c>
      <c r="N74" s="28">
        <v>0.0</v>
      </c>
      <c r="O74" s="29">
        <v>0.0</v>
      </c>
      <c r="P74" s="29">
        <v>0.0</v>
      </c>
      <c r="Q74" s="29">
        <v>0.0</v>
      </c>
      <c r="R74" s="29">
        <v>0.0</v>
      </c>
      <c r="S74" s="28">
        <v>0.0</v>
      </c>
      <c r="T74" s="29">
        <v>0.0</v>
      </c>
      <c r="U74" s="1"/>
      <c r="V74" s="16">
        <f t="shared" ref="V74:X74" si="160">IFERROR(B74/B$4, "")</f>
        <v>0</v>
      </c>
      <c r="W74" s="16">
        <f t="shared" si="160"/>
        <v>0</v>
      </c>
      <c r="X74" s="16">
        <f t="shared" si="160"/>
        <v>0</v>
      </c>
      <c r="Y74" s="16">
        <f t="shared" si="140"/>
        <v>-0.002246159074</v>
      </c>
      <c r="Z74" s="16">
        <f t="shared" si="141"/>
        <v>0</v>
      </c>
      <c r="AA74" s="16">
        <f t="shared" si="142"/>
        <v>0</v>
      </c>
      <c r="AB74" s="16"/>
      <c r="AC74" s="16" t="str">
        <f t="shared" ref="AC74:AD74" si="161">IFERROR((C74/B74)-1, "")</f>
        <v/>
      </c>
      <c r="AD74" s="16" t="str">
        <f t="shared" si="161"/>
        <v/>
      </c>
      <c r="AE74" s="16" t="str">
        <f t="shared" si="144"/>
        <v/>
      </c>
      <c r="AF74" s="16">
        <f t="shared" si="145"/>
        <v>-1</v>
      </c>
      <c r="AG74" s="16" t="str">
        <f t="shared" si="146"/>
        <v/>
      </c>
      <c r="AH74" s="16"/>
      <c r="AI74" s="22"/>
    </row>
    <row r="75" hidden="1" outlineLevel="1">
      <c r="A75" s="24" t="s">
        <v>101</v>
      </c>
      <c r="B75" s="28">
        <v>0.0</v>
      </c>
      <c r="C75" s="28">
        <v>0.0</v>
      </c>
      <c r="D75" s="28">
        <v>4500.0</v>
      </c>
      <c r="E75" s="29">
        <v>0.0</v>
      </c>
      <c r="F75" s="29">
        <v>0.0</v>
      </c>
      <c r="G75" s="29">
        <v>0.0</v>
      </c>
      <c r="H75" s="29">
        <v>0.0</v>
      </c>
      <c r="I75" s="28">
        <v>0.0</v>
      </c>
      <c r="J75" s="29">
        <v>13220.00065</v>
      </c>
      <c r="K75" s="29">
        <v>-4409.76477</v>
      </c>
      <c r="L75" s="29">
        <v>1723.7369</v>
      </c>
      <c r="M75" s="29">
        <v>1184.0</v>
      </c>
      <c r="N75" s="28">
        <f>SUM(J75:M75)</f>
        <v>11717.97278</v>
      </c>
      <c r="O75" s="29">
        <v>3158.08</v>
      </c>
      <c r="P75" s="29">
        <v>1537.81455</v>
      </c>
      <c r="Q75" s="29">
        <v>2016.85491</v>
      </c>
      <c r="R75" s="29">
        <v>2773.41423</v>
      </c>
      <c r="S75" s="28">
        <v>9486.16369</v>
      </c>
      <c r="T75" s="29">
        <v>6782.4363104018</v>
      </c>
      <c r="U75" s="1"/>
      <c r="V75" s="16">
        <f t="shared" ref="V75:X75" si="162">IFERROR(B75/B$4, "")</f>
        <v>0</v>
      </c>
      <c r="W75" s="16">
        <f t="shared" si="162"/>
        <v>0</v>
      </c>
      <c r="X75" s="16">
        <f t="shared" si="162"/>
        <v>0.0004450738338</v>
      </c>
      <c r="Y75" s="16">
        <f t="shared" si="140"/>
        <v>0</v>
      </c>
      <c r="Z75" s="16">
        <f t="shared" si="141"/>
        <v>0.001108319603</v>
      </c>
      <c r="AA75" s="16">
        <f t="shared" si="142"/>
        <v>0.0008529537659</v>
      </c>
      <c r="AB75" s="16"/>
      <c r="AC75" s="16" t="str">
        <f t="shared" ref="AC75:AD75" si="163">IFERROR((C75/B75)-1, "")</f>
        <v/>
      </c>
      <c r="AD75" s="16" t="str">
        <f t="shared" si="163"/>
        <v/>
      </c>
      <c r="AE75" s="16">
        <f t="shared" si="144"/>
        <v>-1</v>
      </c>
      <c r="AF75" s="16" t="str">
        <f t="shared" si="145"/>
        <v/>
      </c>
      <c r="AG75" s="16">
        <f t="shared" si="146"/>
        <v>-0.1904603409</v>
      </c>
      <c r="AH75" s="16"/>
      <c r="AI75" s="22"/>
    </row>
    <row r="76" hidden="1" outlineLevel="1">
      <c r="A76" s="24" t="s">
        <v>102</v>
      </c>
      <c r="B76" s="28">
        <v>0.0</v>
      </c>
      <c r="C76" s="28">
        <v>17232.69846</v>
      </c>
      <c r="D76" s="28">
        <v>0.0</v>
      </c>
      <c r="E76" s="29">
        <v>0.0</v>
      </c>
      <c r="F76" s="29">
        <v>0.0</v>
      </c>
      <c r="G76" s="29">
        <v>0.0</v>
      </c>
      <c r="H76" s="29">
        <v>0.0</v>
      </c>
      <c r="I76" s="28">
        <v>0.0</v>
      </c>
      <c r="J76" s="29">
        <v>0.0</v>
      </c>
      <c r="K76" s="29">
        <v>0.0</v>
      </c>
      <c r="L76" s="29">
        <v>0.0</v>
      </c>
      <c r="M76" s="29">
        <v>0.0</v>
      </c>
      <c r="N76" s="28">
        <v>0.0</v>
      </c>
      <c r="O76" s="29">
        <v>0.0</v>
      </c>
      <c r="P76" s="29">
        <v>0.0</v>
      </c>
      <c r="Q76" s="29">
        <v>0.0</v>
      </c>
      <c r="R76" s="29">
        <v>0.0</v>
      </c>
      <c r="S76" s="28">
        <v>0.0</v>
      </c>
      <c r="T76" s="29">
        <v>0.0</v>
      </c>
      <c r="U76" s="1"/>
      <c r="V76" s="16">
        <f t="shared" ref="V76:X76" si="164">IFERROR(B76/B$4, "")</f>
        <v>0</v>
      </c>
      <c r="W76" s="16">
        <f t="shared" si="164"/>
        <v>0.001675008822</v>
      </c>
      <c r="X76" s="16">
        <f t="shared" si="164"/>
        <v>0</v>
      </c>
      <c r="Y76" s="16">
        <f t="shared" si="140"/>
        <v>0</v>
      </c>
      <c r="Z76" s="16">
        <f t="shared" si="141"/>
        <v>0</v>
      </c>
      <c r="AA76" s="16">
        <f t="shared" si="142"/>
        <v>0</v>
      </c>
      <c r="AB76" s="16"/>
      <c r="AC76" s="16" t="str">
        <f t="shared" ref="AC76:AD76" si="165">IFERROR((C76/B76)-1, "")</f>
        <v/>
      </c>
      <c r="AD76" s="16">
        <f t="shared" si="165"/>
        <v>-1</v>
      </c>
      <c r="AE76" s="16" t="str">
        <f t="shared" si="144"/>
        <v/>
      </c>
      <c r="AF76" s="16" t="str">
        <f t="shared" si="145"/>
        <v/>
      </c>
      <c r="AG76" s="16" t="str">
        <f t="shared" si="146"/>
        <v/>
      </c>
      <c r="AH76" s="16"/>
      <c r="AI76" s="22"/>
    </row>
    <row r="77" hidden="1" outlineLevel="1">
      <c r="A77" s="24" t="s">
        <v>103</v>
      </c>
      <c r="B77" s="28">
        <v>0.0</v>
      </c>
      <c r="C77" s="28">
        <v>12256.53317</v>
      </c>
      <c r="D77" s="28">
        <v>33850.33063</v>
      </c>
      <c r="E77" s="29">
        <v>4998.57483</v>
      </c>
      <c r="F77" s="29">
        <v>3153.05586</v>
      </c>
      <c r="G77" s="29">
        <v>1034.55641</v>
      </c>
      <c r="H77" s="29">
        <v>10332.00733</v>
      </c>
      <c r="I77" s="28">
        <v>19518.19443</v>
      </c>
      <c r="J77" s="29">
        <v>0.0</v>
      </c>
      <c r="K77" s="29">
        <v>0.0</v>
      </c>
      <c r="L77" s="29">
        <v>0.0</v>
      </c>
      <c r="M77" s="29">
        <v>0.0</v>
      </c>
      <c r="N77" s="28">
        <v>0.0</v>
      </c>
      <c r="O77" s="29">
        <v>0.0</v>
      </c>
      <c r="P77" s="29">
        <v>0.0</v>
      </c>
      <c r="Q77" s="29">
        <v>0.0</v>
      </c>
      <c r="R77" s="29">
        <v>0.0</v>
      </c>
      <c r="S77" s="28">
        <v>0.0</v>
      </c>
      <c r="T77" s="29">
        <v>0.0</v>
      </c>
      <c r="U77" s="1"/>
      <c r="V77" s="16">
        <f t="shared" ref="V77:X77" si="166">IFERROR(B77/B$4, "")</f>
        <v>0</v>
      </c>
      <c r="W77" s="16">
        <f t="shared" si="166"/>
        <v>0.00119132829</v>
      </c>
      <c r="X77" s="16">
        <f t="shared" si="166"/>
        <v>0.003347976984</v>
      </c>
      <c r="Y77" s="16">
        <f t="shared" si="140"/>
        <v>0.001967311827</v>
      </c>
      <c r="Z77" s="16">
        <f t="shared" si="141"/>
        <v>0</v>
      </c>
      <c r="AA77" s="16">
        <f t="shared" si="142"/>
        <v>0</v>
      </c>
      <c r="AB77" s="16"/>
      <c r="AC77" s="16" t="str">
        <f t="shared" ref="AC77:AD77" si="167">IFERROR((C77/B77)-1, "")</f>
        <v/>
      </c>
      <c r="AD77" s="16">
        <f t="shared" si="167"/>
        <v>1.761819363</v>
      </c>
      <c r="AE77" s="16">
        <f t="shared" si="144"/>
        <v>-0.4233972293</v>
      </c>
      <c r="AF77" s="16">
        <f t="shared" si="145"/>
        <v>-1</v>
      </c>
      <c r="AG77" s="16" t="str">
        <f t="shared" si="146"/>
        <v/>
      </c>
      <c r="AH77" s="16"/>
      <c r="AI77" s="22"/>
    </row>
    <row r="78" hidden="1" outlineLevel="1">
      <c r="A78" s="24" t="s">
        <v>104</v>
      </c>
      <c r="B78" s="28">
        <v>0.0</v>
      </c>
      <c r="C78" s="28">
        <v>48367.793</v>
      </c>
      <c r="D78" s="28">
        <v>0.0</v>
      </c>
      <c r="E78" s="29">
        <v>0.0</v>
      </c>
      <c r="F78" s="29">
        <v>0.0</v>
      </c>
      <c r="G78" s="29">
        <v>0.0</v>
      </c>
      <c r="H78" s="29">
        <v>0.0</v>
      </c>
      <c r="I78" s="28">
        <v>0.0</v>
      </c>
      <c r="J78" s="29">
        <v>0.0</v>
      </c>
      <c r="K78" s="29">
        <v>0.0</v>
      </c>
      <c r="L78" s="29">
        <v>0.0</v>
      </c>
      <c r="M78" s="29">
        <v>25553.0</v>
      </c>
      <c r="N78" s="28">
        <v>25553.0</v>
      </c>
      <c r="O78" s="29">
        <v>0.0</v>
      </c>
      <c r="P78" s="29">
        <v>0.0</v>
      </c>
      <c r="Q78" s="29">
        <v>0.0</v>
      </c>
      <c r="R78" s="29">
        <v>0.0</v>
      </c>
      <c r="S78" s="28">
        <v>0.0</v>
      </c>
      <c r="T78" s="29">
        <v>0.0</v>
      </c>
      <c r="U78" s="1"/>
      <c r="V78" s="16">
        <f t="shared" ref="V78:X78" si="168">IFERROR(B78/B$4, "")</f>
        <v>0</v>
      </c>
      <c r="W78" s="16">
        <f t="shared" si="168"/>
        <v>0.004701322904</v>
      </c>
      <c r="X78" s="16">
        <f t="shared" si="168"/>
        <v>0</v>
      </c>
      <c r="Y78" s="16">
        <f t="shared" si="140"/>
        <v>0</v>
      </c>
      <c r="Z78" s="16">
        <f t="shared" si="141"/>
        <v>0.00241687631</v>
      </c>
      <c r="AA78" s="16">
        <f t="shared" si="142"/>
        <v>0</v>
      </c>
      <c r="AB78" s="16"/>
      <c r="AC78" s="16" t="str">
        <f t="shared" ref="AC78:AD78" si="169">IFERROR((C78/B78)-1, "")</f>
        <v/>
      </c>
      <c r="AD78" s="16">
        <f t="shared" si="169"/>
        <v>-1</v>
      </c>
      <c r="AE78" s="16" t="str">
        <f t="shared" si="144"/>
        <v/>
      </c>
      <c r="AF78" s="16" t="str">
        <f t="shared" si="145"/>
        <v/>
      </c>
      <c r="AG78" s="16">
        <f t="shared" si="146"/>
        <v>-1</v>
      </c>
      <c r="AH78" s="16"/>
      <c r="AI78" s="22"/>
    </row>
    <row r="79" collapsed="1">
      <c r="A79" s="18" t="s">
        <v>105</v>
      </c>
      <c r="B79" s="27">
        <v>6383071.73187</v>
      </c>
      <c r="C79" s="27">
        <v>7273807.701330001</v>
      </c>
      <c r="D79" s="27">
        <v>6689476.33063</v>
      </c>
      <c r="E79" s="26">
        <v>1622144.57483</v>
      </c>
      <c r="F79" s="26">
        <v>1632003.99317634</v>
      </c>
      <c r="G79" s="26">
        <v>1617744.90519</v>
      </c>
      <c r="H79" s="26">
        <v>1459588.00733</v>
      </c>
      <c r="I79" s="27">
        <v>6331481.480526339</v>
      </c>
      <c r="J79" s="26">
        <v>1573490.45633</v>
      </c>
      <c r="K79" s="26">
        <v>1769146.35051</v>
      </c>
      <c r="L79" s="26">
        <v>1706310.7369</v>
      </c>
      <c r="M79" s="26">
        <v>1597603.19725</v>
      </c>
      <c r="N79" s="27">
        <v>6646550.60098</v>
      </c>
      <c r="O79" s="26">
        <v>1660157.40232872</v>
      </c>
      <c r="P79" s="26">
        <v>1721074.89822441</v>
      </c>
      <c r="Q79" s="26">
        <v>1727043.60142813</v>
      </c>
      <c r="R79" s="26">
        <v>1829692.41423</v>
      </c>
      <c r="S79" s="27">
        <v>6937968.31621126</v>
      </c>
      <c r="T79" s="26">
        <v>2057203.436310402</v>
      </c>
      <c r="U79" s="1"/>
      <c r="V79" s="16">
        <f t="shared" ref="V79:X79" si="170">IFERROR(B79/B$4, "")</f>
        <v>0.6843359514</v>
      </c>
      <c r="W79" s="16">
        <f t="shared" si="170"/>
        <v>0.707010112</v>
      </c>
      <c r="X79" s="16">
        <f t="shared" si="170"/>
        <v>0.6616246392</v>
      </c>
      <c r="Y79" s="16">
        <f t="shared" si="140"/>
        <v>0.6381737021</v>
      </c>
      <c r="Z79" s="16">
        <f t="shared" si="141"/>
        <v>0.6286498919</v>
      </c>
      <c r="AA79" s="16">
        <f t="shared" si="142"/>
        <v>0.6238313396</v>
      </c>
      <c r="AB79" s="16"/>
      <c r="AC79" s="16">
        <f t="shared" ref="AC79:AD79" si="171">IFERROR((C79/B79)-1, "")</f>
        <v>0.1395466018</v>
      </c>
      <c r="AD79" s="16">
        <f t="shared" si="171"/>
        <v>-0.08033362919</v>
      </c>
      <c r="AE79" s="16">
        <f t="shared" si="144"/>
        <v>-0.05351612479</v>
      </c>
      <c r="AF79" s="16">
        <f t="shared" si="145"/>
        <v>0.04976230625</v>
      </c>
      <c r="AG79" s="16">
        <f t="shared" si="146"/>
        <v>0.04384495549</v>
      </c>
      <c r="AH79" s="16"/>
      <c r="AI79" s="22"/>
    </row>
    <row r="80">
      <c r="A80" s="33" t="s">
        <v>106</v>
      </c>
      <c r="B80" s="34">
        <v>0.7868402098300344</v>
      </c>
      <c r="C80" s="34">
        <v>0.8024498158599365</v>
      </c>
      <c r="D80" s="34">
        <v>0.7357773315798684</v>
      </c>
      <c r="E80" s="35">
        <v>0.7342014007558613</v>
      </c>
      <c r="F80" s="35">
        <v>0.7355101043967148</v>
      </c>
      <c r="G80" s="35">
        <v>0.7230835275386908</v>
      </c>
      <c r="H80" s="35">
        <v>0.650967386395312</v>
      </c>
      <c r="I80" s="34">
        <v>0.7090104989097274</v>
      </c>
      <c r="J80" s="35">
        <v>0.7128410734541085</v>
      </c>
      <c r="K80" s="35">
        <v>0.7329311449756721</v>
      </c>
      <c r="L80" s="35">
        <v>0.7004801220157016</v>
      </c>
      <c r="M80" s="35">
        <v>0.6724597285068015</v>
      </c>
      <c r="N80" s="34">
        <v>0.7046124506663336</v>
      </c>
      <c r="O80" s="35">
        <v>0.6952219682623701</v>
      </c>
      <c r="P80" s="35">
        <v>0.697627041392897</v>
      </c>
      <c r="Q80" s="35">
        <v>0.6947226010791052</v>
      </c>
      <c r="R80" s="35">
        <v>0.6899219820567505</v>
      </c>
      <c r="S80" s="34">
        <v>0.6942848440596302</v>
      </c>
      <c r="T80" s="35">
        <v>0.7159427275696311</v>
      </c>
      <c r="U80" s="1"/>
      <c r="V80" s="16">
        <f t="shared" ref="V80:X80" si="172">IFERROR(B80/B$4, "")</f>
        <v>0.00000008435798096</v>
      </c>
      <c r="W80" s="16">
        <f t="shared" si="172"/>
        <v>0.0000000779976812</v>
      </c>
      <c r="X80" s="16">
        <f t="shared" si="172"/>
        <v>0.00000007277227506</v>
      </c>
      <c r="Y80" s="16">
        <f t="shared" si="140"/>
        <v>0.00000007146382033</v>
      </c>
      <c r="Z80" s="16">
        <f t="shared" si="141"/>
        <v>0.00000006664427423</v>
      </c>
      <c r="AA80" s="16">
        <f t="shared" si="142"/>
        <v>0.00000006242701388</v>
      </c>
      <c r="AB80" s="16"/>
      <c r="AC80" s="16">
        <f t="shared" ref="AC80:AD80" si="173">IFERROR((C80/B80)-1, "")</f>
        <v>0.01983834308</v>
      </c>
      <c r="AD80" s="16">
        <f t="shared" si="173"/>
        <v>-0.08308617307</v>
      </c>
      <c r="AE80" s="16">
        <f t="shared" si="144"/>
        <v>-0.03637898522</v>
      </c>
      <c r="AF80" s="16">
        <f t="shared" si="145"/>
        <v>-0.006203079151</v>
      </c>
      <c r="AG80" s="16">
        <f t="shared" si="146"/>
        <v>-0.01465714464</v>
      </c>
      <c r="AH80" s="16"/>
      <c r="AI80" s="22"/>
    </row>
    <row r="81">
      <c r="A81" s="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42"/>
      <c r="P81" s="42"/>
      <c r="Q81" s="42"/>
      <c r="R81" s="42"/>
      <c r="S81" s="1"/>
      <c r="T81" s="42"/>
      <c r="U81" s="1"/>
      <c r="V81" s="16"/>
      <c r="W81" s="16"/>
      <c r="X81" s="16"/>
      <c r="Y81" s="16"/>
      <c r="Z81" s="16"/>
      <c r="AA81" s="16"/>
      <c r="AB81" s="16"/>
      <c r="AC81" s="16" t="str">
        <f t="shared" ref="AC81:AD81" si="174">IFERROR((C81/B81)-1, "")</f>
        <v/>
      </c>
      <c r="AD81" s="16" t="str">
        <f t="shared" si="174"/>
        <v/>
      </c>
      <c r="AE81" s="16" t="str">
        <f t="shared" si="144"/>
        <v/>
      </c>
      <c r="AF81" s="16" t="str">
        <f t="shared" si="145"/>
        <v/>
      </c>
      <c r="AG81" s="16" t="str">
        <f t="shared" si="146"/>
        <v/>
      </c>
      <c r="AH81" s="16"/>
      <c r="AI81" s="22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6"/>
      <c r="W82" s="16"/>
      <c r="X82" s="16"/>
      <c r="Y82" s="16"/>
      <c r="Z82" s="16"/>
      <c r="AA82" s="16"/>
      <c r="AB82" s="16"/>
      <c r="AC82" s="16" t="str">
        <f t="shared" ref="AC82:AD82" si="175">IFERROR((C82/B82)-1, "")</f>
        <v/>
      </c>
      <c r="AD82" s="16" t="str">
        <f t="shared" si="175"/>
        <v/>
      </c>
      <c r="AE82" s="16" t="str">
        <f t="shared" si="144"/>
        <v/>
      </c>
      <c r="AF82" s="16" t="str">
        <f t="shared" si="145"/>
        <v/>
      </c>
      <c r="AG82" s="16" t="str">
        <f t="shared" si="146"/>
        <v/>
      </c>
      <c r="AH82" s="16"/>
      <c r="AI82" s="22"/>
    </row>
    <row r="83">
      <c r="A83" s="39" t="s">
        <v>107</v>
      </c>
      <c r="B83" s="3">
        <v>2020.0</v>
      </c>
      <c r="C83" s="3">
        <v>2021.0</v>
      </c>
      <c r="D83" s="3">
        <v>2022.0</v>
      </c>
      <c r="E83" s="4" t="s">
        <v>1</v>
      </c>
      <c r="F83" s="4" t="s">
        <v>2</v>
      </c>
      <c r="G83" s="4" t="s">
        <v>3</v>
      </c>
      <c r="H83" s="4" t="s">
        <v>4</v>
      </c>
      <c r="I83" s="4">
        <v>2023.0</v>
      </c>
      <c r="J83" s="4" t="s">
        <v>5</v>
      </c>
      <c r="K83" s="4" t="s">
        <v>6</v>
      </c>
      <c r="L83" s="4" t="s">
        <v>7</v>
      </c>
      <c r="M83" s="4" t="s">
        <v>8</v>
      </c>
      <c r="N83" s="4">
        <v>2024.0</v>
      </c>
      <c r="O83" s="4" t="s">
        <v>9</v>
      </c>
      <c r="P83" s="4" t="s">
        <v>10</v>
      </c>
      <c r="Q83" s="4" t="s">
        <v>11</v>
      </c>
      <c r="R83" s="4" t="s">
        <v>12</v>
      </c>
      <c r="S83" s="4">
        <v>2025.0</v>
      </c>
      <c r="T83" s="4" t="s">
        <v>13</v>
      </c>
      <c r="U83" s="1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22"/>
    </row>
    <row r="84">
      <c r="A84" s="10"/>
      <c r="B84" s="3">
        <v>2020.0</v>
      </c>
      <c r="C84" s="3">
        <v>2021.0</v>
      </c>
      <c r="D84" s="3">
        <v>2022.0</v>
      </c>
      <c r="E84" s="4" t="s">
        <v>16</v>
      </c>
      <c r="F84" s="4" t="s">
        <v>17</v>
      </c>
      <c r="G84" s="4" t="s">
        <v>18</v>
      </c>
      <c r="H84" s="4" t="s">
        <v>19</v>
      </c>
      <c r="I84" s="4">
        <v>2023.0</v>
      </c>
      <c r="J84" s="4" t="s">
        <v>20</v>
      </c>
      <c r="K84" s="4" t="s">
        <v>21</v>
      </c>
      <c r="L84" s="4" t="s">
        <v>22</v>
      </c>
      <c r="M84" s="4" t="s">
        <v>23</v>
      </c>
      <c r="N84" s="4">
        <v>2024.0</v>
      </c>
      <c r="O84" s="4" t="s">
        <v>24</v>
      </c>
      <c r="P84" s="4" t="s">
        <v>25</v>
      </c>
      <c r="Q84" s="4" t="s">
        <v>26</v>
      </c>
      <c r="R84" s="4" t="s">
        <v>27</v>
      </c>
      <c r="S84" s="4">
        <v>2025.0</v>
      </c>
      <c r="T84" s="4" t="s">
        <v>28</v>
      </c>
      <c r="U84" s="1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22"/>
    </row>
    <row r="85">
      <c r="A85" s="18" t="s">
        <v>108</v>
      </c>
      <c r="B85" s="27">
        <v>-2702146.0</v>
      </c>
      <c r="C85" s="27">
        <v>-2927557.0</v>
      </c>
      <c r="D85" s="27">
        <v>-3519399.0</v>
      </c>
      <c r="E85" s="26">
        <v>-851844.0</v>
      </c>
      <c r="F85" s="26">
        <v>-858964.0</v>
      </c>
      <c r="G85" s="26">
        <v>-902168.0</v>
      </c>
      <c r="H85" s="26">
        <v>-1072838.0</v>
      </c>
      <c r="I85" s="27">
        <v>-3685814.0</v>
      </c>
      <c r="J85" s="26">
        <v>-927082.0</v>
      </c>
      <c r="K85" s="26">
        <v>-729055.0</v>
      </c>
      <c r="L85" s="26">
        <v>-831060.0</v>
      </c>
      <c r="M85" s="26">
        <v>-908189.0</v>
      </c>
      <c r="N85" s="27">
        <v>-3395386.0</v>
      </c>
      <c r="O85" s="26">
        <v>-828481.0</v>
      </c>
      <c r="P85" s="26">
        <v>-844348.0</v>
      </c>
      <c r="Q85" s="26">
        <f>Q26</f>
        <v>-840970</v>
      </c>
      <c r="R85" s="26">
        <v>-922021.0</v>
      </c>
      <c r="S85" s="27">
        <v>-3435820.0</v>
      </c>
      <c r="T85" s="26">
        <v>-918677.0</v>
      </c>
      <c r="U85" s="1"/>
      <c r="V85" s="16">
        <f t="shared" ref="V85:X85" si="176">IFERROR(B85/B$4, "")</f>
        <v>-0.2896999645</v>
      </c>
      <c r="W85" s="16">
        <f t="shared" si="176"/>
        <v>-0.2845569319</v>
      </c>
      <c r="X85" s="16">
        <f t="shared" si="176"/>
        <v>-0.3480872012</v>
      </c>
      <c r="Y85" s="16">
        <f t="shared" ref="Y85:Y96" si="179">IFERROR(I85/I$4, "")</f>
        <v>-0.3715069803</v>
      </c>
      <c r="Z85" s="16">
        <f t="shared" ref="Z85:Z96" si="180">IFERROR(N85/N$4, "")</f>
        <v>-0.3211453835</v>
      </c>
      <c r="AA85" s="16">
        <f t="shared" ref="AA85:AA96" si="181">IFERROR(S85/S$4, "")</f>
        <v>-0.3089336958</v>
      </c>
      <c r="AB85" s="16"/>
      <c r="AC85" s="16">
        <f t="shared" ref="AC85:AD85" si="177">IFERROR((C85/B85)-1, "")</f>
        <v>0.0834192527</v>
      </c>
      <c r="AD85" s="16">
        <f t="shared" si="177"/>
        <v>0.2021624173</v>
      </c>
      <c r="AE85" s="16">
        <f t="shared" ref="AE85:AE98" si="183">IFERROR((I85/D85)-1, "")</f>
        <v>0.04728506202</v>
      </c>
      <c r="AF85" s="16">
        <f t="shared" ref="AF85:AF98" si="184">IFERROR((N85/I85)-1, "")</f>
        <v>-0.0787961628</v>
      </c>
      <c r="AG85" s="16">
        <f t="shared" ref="AG85:AG98" si="185">IFERROR((S85/N85)-1, "")</f>
        <v>0.01190851349</v>
      </c>
      <c r="AH85" s="16"/>
      <c r="AI85" s="22"/>
    </row>
    <row r="86" hidden="1" outlineLevel="1">
      <c r="A86" s="24" t="s">
        <v>59</v>
      </c>
      <c r="B86" s="28">
        <v>1041301.0</v>
      </c>
      <c r="C86" s="28">
        <v>1057150.0</v>
      </c>
      <c r="D86" s="28">
        <v>1056304.0</v>
      </c>
      <c r="E86" s="29">
        <v>259590.0</v>
      </c>
      <c r="F86" s="29">
        <v>268942.0</v>
      </c>
      <c r="G86" s="29">
        <v>281592.0</v>
      </c>
      <c r="H86" s="29">
        <v>279911.0</v>
      </c>
      <c r="I86" s="28">
        <v>1090035.0</v>
      </c>
      <c r="J86" s="29">
        <v>279908.0</v>
      </c>
      <c r="K86" s="29">
        <v>88815.0</v>
      </c>
      <c r="L86" s="29">
        <v>99731.0</v>
      </c>
      <c r="M86" s="29">
        <v>103295.0</v>
      </c>
      <c r="N86" s="28">
        <v>571749.0</v>
      </c>
      <c r="O86" s="29">
        <v>97527.0</v>
      </c>
      <c r="P86" s="29">
        <v>96844.0</v>
      </c>
      <c r="Q86" s="29">
        <v>95740.0</v>
      </c>
      <c r="R86" s="29">
        <v>96912.0</v>
      </c>
      <c r="S86" s="28">
        <v>387023.0</v>
      </c>
      <c r="T86" s="29">
        <v>95679.0</v>
      </c>
      <c r="U86" s="1"/>
      <c r="V86" s="16">
        <f t="shared" ref="V86:X86" si="178">IFERROR(B86/B$4, "")</f>
        <v>0.1116389946</v>
      </c>
      <c r="W86" s="16">
        <f t="shared" si="178"/>
        <v>0.1027543991</v>
      </c>
      <c r="X86" s="16">
        <f t="shared" si="178"/>
        <v>0.1044740602</v>
      </c>
      <c r="Y86" s="16">
        <f t="shared" si="179"/>
        <v>0.1098687051</v>
      </c>
      <c r="Z86" s="16">
        <f t="shared" si="180"/>
        <v>0.05407766654</v>
      </c>
      <c r="AA86" s="16">
        <f t="shared" si="181"/>
        <v>0.03479939163</v>
      </c>
      <c r="AB86" s="16"/>
      <c r="AC86" s="16">
        <f t="shared" ref="AC86:AD86" si="182">IFERROR((C86/B86)-1, "")</f>
        <v>0.01522038296</v>
      </c>
      <c r="AD86" s="16">
        <f t="shared" si="182"/>
        <v>-0.0008002648631</v>
      </c>
      <c r="AE86" s="16">
        <f t="shared" si="183"/>
        <v>0.031933042</v>
      </c>
      <c r="AF86" s="16">
        <f t="shared" si="184"/>
        <v>-0.4754764755</v>
      </c>
      <c r="AG86" s="16">
        <f t="shared" si="185"/>
        <v>-0.3230893277</v>
      </c>
      <c r="AH86" s="16"/>
      <c r="AI86" s="22"/>
    </row>
    <row r="87" hidden="1" outlineLevel="1">
      <c r="A87" s="24" t="s">
        <v>109</v>
      </c>
      <c r="B87" s="28">
        <v>156513.14077</v>
      </c>
      <c r="C87" s="28">
        <v>146479.67088999998</v>
      </c>
      <c r="D87" s="28">
        <v>164734.8562899999</v>
      </c>
      <c r="E87" s="29">
        <v>44589.19365</v>
      </c>
      <c r="F87" s="29">
        <v>35632.66484</v>
      </c>
      <c r="G87" s="29">
        <v>41641.67123</v>
      </c>
      <c r="H87" s="29">
        <v>39844.75359</v>
      </c>
      <c r="I87" s="28">
        <v>161708.28331</v>
      </c>
      <c r="J87" s="29">
        <v>51787.55744</v>
      </c>
      <c r="K87" s="29">
        <v>35295.98513</v>
      </c>
      <c r="L87" s="29">
        <v>45104.19909</v>
      </c>
      <c r="M87" s="29">
        <v>54539.1481999999</v>
      </c>
      <c r="N87" s="28">
        <v>186726.8898599999</v>
      </c>
      <c r="O87" s="29">
        <v>51493.55047</v>
      </c>
      <c r="P87" s="29">
        <v>34482.8340300001</v>
      </c>
      <c r="Q87" s="29">
        <v>46546.7469199999</v>
      </c>
      <c r="R87" s="29">
        <v>49784.8043100001</v>
      </c>
      <c r="S87" s="28">
        <v>182307.93573000008</v>
      </c>
      <c r="T87" s="29">
        <v>55774.3848</v>
      </c>
      <c r="U87" s="1"/>
      <c r="V87" s="16">
        <f t="shared" ref="V87:X87" si="186">IFERROR(B87/B$4, "")</f>
        <v>0.01677994132</v>
      </c>
      <c r="W87" s="16">
        <f t="shared" si="186"/>
        <v>0.01423774353</v>
      </c>
      <c r="X87" s="16">
        <f t="shared" si="186"/>
        <v>0.01629314979</v>
      </c>
      <c r="Y87" s="16">
        <f t="shared" si="179"/>
        <v>0.01629918277</v>
      </c>
      <c r="Z87" s="16">
        <f t="shared" si="180"/>
        <v>0.01766116685</v>
      </c>
      <c r="AA87" s="16">
        <f t="shared" si="181"/>
        <v>0.01639232101</v>
      </c>
      <c r="AB87" s="16"/>
      <c r="AC87" s="16">
        <f t="shared" ref="AC87:AD87" si="187">IFERROR((C87/B87)-1, "")</f>
        <v>-0.06410624584</v>
      </c>
      <c r="AD87" s="16">
        <f t="shared" si="187"/>
        <v>0.1246260678</v>
      </c>
      <c r="AE87" s="16">
        <f t="shared" si="183"/>
        <v>-0.01837238972</v>
      </c>
      <c r="AF87" s="16">
        <f t="shared" si="184"/>
        <v>0.1547144403</v>
      </c>
      <c r="AG87" s="16">
        <f t="shared" si="185"/>
        <v>-0.02366533354</v>
      </c>
      <c r="AH87" s="16"/>
      <c r="AI87" s="22"/>
    </row>
    <row r="88" hidden="1" outlineLevel="1">
      <c r="A88" s="24" t="s">
        <v>93</v>
      </c>
      <c r="B88" s="28">
        <v>0.0</v>
      </c>
      <c r="C88" s="28">
        <v>0.0</v>
      </c>
      <c r="D88" s="28">
        <v>0.0</v>
      </c>
      <c r="E88" s="29">
        <v>0.0</v>
      </c>
      <c r="F88" s="29">
        <v>0.0</v>
      </c>
      <c r="G88" s="29">
        <v>0.0</v>
      </c>
      <c r="H88" s="29">
        <v>0.0</v>
      </c>
      <c r="I88" s="28">
        <v>0.0</v>
      </c>
      <c r="J88" s="29">
        <v>0.0</v>
      </c>
      <c r="K88" s="29">
        <v>0.0</v>
      </c>
      <c r="L88" s="29">
        <v>0.0</v>
      </c>
      <c r="M88" s="29">
        <v>0.0</v>
      </c>
      <c r="N88" s="28">
        <v>0.0</v>
      </c>
      <c r="O88" s="29">
        <v>0.0</v>
      </c>
      <c r="P88" s="29">
        <v>0.0</v>
      </c>
      <c r="Q88" s="29">
        <v>0.0</v>
      </c>
      <c r="R88" s="29">
        <v>0.0</v>
      </c>
      <c r="S88" s="28">
        <v>0.0</v>
      </c>
      <c r="T88" s="29">
        <v>0.0</v>
      </c>
      <c r="U88" s="1"/>
      <c r="V88" s="16">
        <f t="shared" ref="V88:X88" si="188">IFERROR(B88/B$4, "")</f>
        <v>0</v>
      </c>
      <c r="W88" s="16">
        <f t="shared" si="188"/>
        <v>0</v>
      </c>
      <c r="X88" s="16">
        <f t="shared" si="188"/>
        <v>0</v>
      </c>
      <c r="Y88" s="16">
        <f t="shared" si="179"/>
        <v>0</v>
      </c>
      <c r="Z88" s="16">
        <f t="shared" si="180"/>
        <v>0</v>
      </c>
      <c r="AA88" s="16">
        <f t="shared" si="181"/>
        <v>0</v>
      </c>
      <c r="AB88" s="16"/>
      <c r="AC88" s="16" t="str">
        <f t="shared" ref="AC88:AD88" si="189">IFERROR((C88/B88)-1, "")</f>
        <v/>
      </c>
      <c r="AD88" s="16" t="str">
        <f t="shared" si="189"/>
        <v/>
      </c>
      <c r="AE88" s="16" t="str">
        <f t="shared" si="183"/>
        <v/>
      </c>
      <c r="AF88" s="16" t="str">
        <f t="shared" si="184"/>
        <v/>
      </c>
      <c r="AG88" s="16" t="str">
        <f t="shared" si="185"/>
        <v/>
      </c>
      <c r="AH88" s="16"/>
      <c r="AI88" s="22"/>
    </row>
    <row r="89" hidden="1" outlineLevel="1">
      <c r="A89" s="24" t="s">
        <v>110</v>
      </c>
      <c r="B89" s="28">
        <v>137975.850046889</v>
      </c>
      <c r="C89" s="28">
        <v>42644.49011725768</v>
      </c>
      <c r="D89" s="28">
        <v>80929.202032639</v>
      </c>
      <c r="E89" s="29">
        <v>10774.31413</v>
      </c>
      <c r="F89" s="29">
        <v>30923.05618</v>
      </c>
      <c r="G89" s="29">
        <v>14743.00143</v>
      </c>
      <c r="H89" s="29">
        <v>40401.6864528377</v>
      </c>
      <c r="I89" s="28">
        <v>96842.05819283769</v>
      </c>
      <c r="J89" s="29">
        <v>9647.16823</v>
      </c>
      <c r="K89" s="29">
        <v>26117.8411</v>
      </c>
      <c r="L89" s="29">
        <v>21279.82348</v>
      </c>
      <c r="M89" s="29">
        <v>28946.4239990654</v>
      </c>
      <c r="N89" s="28">
        <v>85991.2568090654</v>
      </c>
      <c r="O89" s="29">
        <v>27845.2746591307</v>
      </c>
      <c r="P89" s="29">
        <v>32609.825399999998</v>
      </c>
      <c r="Q89" s="29">
        <v>4573.82473</v>
      </c>
      <c r="R89" s="29">
        <v>27458.29592</v>
      </c>
      <c r="S89" s="28">
        <v>92487.22070913069</v>
      </c>
      <c r="T89" s="29">
        <v>43675.00894</v>
      </c>
      <c r="U89" s="1"/>
      <c r="V89" s="16">
        <f t="shared" ref="V89:X89" si="190">IFERROR(B89/B$4, "")</f>
        <v>0.01479253854</v>
      </c>
      <c r="W89" s="16">
        <f t="shared" si="190"/>
        <v>0.004145021008</v>
      </c>
      <c r="X89" s="16">
        <f t="shared" si="190"/>
        <v>0.008004326714</v>
      </c>
      <c r="Y89" s="16">
        <f t="shared" si="179"/>
        <v>0.009761073295</v>
      </c>
      <c r="Z89" s="16">
        <f t="shared" si="180"/>
        <v>0.008133300646</v>
      </c>
      <c r="AA89" s="16">
        <f t="shared" si="181"/>
        <v>0.008316040686</v>
      </c>
      <c r="AB89" s="16"/>
      <c r="AC89" s="16">
        <f t="shared" ref="AC89:AD89" si="191">IFERROR((C89/B89)-1, "")</f>
        <v>-0.6909278682</v>
      </c>
      <c r="AD89" s="16">
        <f t="shared" si="191"/>
        <v>0.8977645602</v>
      </c>
      <c r="AE89" s="16">
        <f t="shared" si="183"/>
        <v>0.1966268758</v>
      </c>
      <c r="AF89" s="16">
        <f t="shared" si="184"/>
        <v>-0.1120463731</v>
      </c>
      <c r="AG89" s="16">
        <f t="shared" si="185"/>
        <v>0.07554214395</v>
      </c>
      <c r="AH89" s="16"/>
      <c r="AI89" s="22"/>
    </row>
    <row r="90" hidden="1" outlineLevel="1">
      <c r="A90" s="24" t="s">
        <v>111</v>
      </c>
      <c r="B90" s="28">
        <v>0.0</v>
      </c>
      <c r="C90" s="28">
        <v>0.0</v>
      </c>
      <c r="D90" s="28">
        <v>0.0</v>
      </c>
      <c r="E90" s="29">
        <v>0.0</v>
      </c>
      <c r="F90" s="29">
        <v>0.0</v>
      </c>
      <c r="G90" s="29">
        <v>0.0</v>
      </c>
      <c r="H90" s="29">
        <v>0.0</v>
      </c>
      <c r="I90" s="28">
        <v>0.0</v>
      </c>
      <c r="J90" s="29">
        <v>0.0</v>
      </c>
      <c r="K90" s="29">
        <v>0.0</v>
      </c>
      <c r="L90" s="29">
        <v>0.0</v>
      </c>
      <c r="M90" s="29">
        <v>0.0</v>
      </c>
      <c r="N90" s="28">
        <v>0.0</v>
      </c>
      <c r="O90" s="29">
        <v>0.0</v>
      </c>
      <c r="P90" s="29">
        <v>0.0</v>
      </c>
      <c r="Q90" s="29">
        <v>0.0</v>
      </c>
      <c r="R90" s="29">
        <v>0.0</v>
      </c>
      <c r="S90" s="28">
        <v>0.0</v>
      </c>
      <c r="T90" s="29">
        <v>0.0</v>
      </c>
      <c r="U90" s="1"/>
      <c r="V90" s="16">
        <f t="shared" ref="V90:X90" si="192">IFERROR(B90/B$4, "")</f>
        <v>0</v>
      </c>
      <c r="W90" s="16">
        <f t="shared" si="192"/>
        <v>0</v>
      </c>
      <c r="X90" s="16">
        <f t="shared" si="192"/>
        <v>0</v>
      </c>
      <c r="Y90" s="16">
        <f t="shared" si="179"/>
        <v>0</v>
      </c>
      <c r="Z90" s="16">
        <f t="shared" si="180"/>
        <v>0</v>
      </c>
      <c r="AA90" s="16">
        <f t="shared" si="181"/>
        <v>0</v>
      </c>
      <c r="AB90" s="16"/>
      <c r="AC90" s="16" t="str">
        <f t="shared" ref="AC90:AD90" si="193">IFERROR((C90/B90)-1, "")</f>
        <v/>
      </c>
      <c r="AD90" s="16" t="str">
        <f t="shared" si="193"/>
        <v/>
      </c>
      <c r="AE90" s="16" t="str">
        <f t="shared" si="183"/>
        <v/>
      </c>
      <c r="AF90" s="16" t="str">
        <f t="shared" si="184"/>
        <v/>
      </c>
      <c r="AG90" s="16" t="str">
        <f t="shared" si="185"/>
        <v/>
      </c>
      <c r="AH90" s="16"/>
      <c r="AI90" s="22"/>
    </row>
    <row r="91" hidden="1" outlineLevel="1">
      <c r="A91" s="24" t="s">
        <v>112</v>
      </c>
      <c r="B91" s="28">
        <v>191789.0</v>
      </c>
      <c r="C91" s="28">
        <v>257699.0</v>
      </c>
      <c r="D91" s="28">
        <v>267375.0</v>
      </c>
      <c r="E91" s="29">
        <v>63281.0</v>
      </c>
      <c r="F91" s="29">
        <v>60770.0</v>
      </c>
      <c r="G91" s="29">
        <v>59262.0</v>
      </c>
      <c r="H91" s="29">
        <v>69269.0</v>
      </c>
      <c r="I91" s="28">
        <v>252582.0</v>
      </c>
      <c r="J91" s="29">
        <v>68595.0</v>
      </c>
      <c r="K91" s="29">
        <v>68863.0</v>
      </c>
      <c r="L91" s="29">
        <v>85309.0</v>
      </c>
      <c r="M91" s="29">
        <v>97623.0</v>
      </c>
      <c r="N91" s="28">
        <v>320390.0</v>
      </c>
      <c r="O91" s="29">
        <v>101495.0</v>
      </c>
      <c r="P91" s="29">
        <v>103225.0</v>
      </c>
      <c r="Q91" s="29">
        <v>94038.0</v>
      </c>
      <c r="R91" s="29">
        <v>120266.0</v>
      </c>
      <c r="S91" s="28">
        <v>419024.0</v>
      </c>
      <c r="T91" s="29">
        <v>135613.0</v>
      </c>
      <c r="U91" s="1"/>
      <c r="V91" s="16">
        <f t="shared" ref="V91:X91" si="194">IFERROR(B91/B$4, "")</f>
        <v>0.02056190394</v>
      </c>
      <c r="W91" s="16">
        <f t="shared" si="194"/>
        <v>0.02504820121</v>
      </c>
      <c r="X91" s="16">
        <f t="shared" si="194"/>
        <v>0.02644480362</v>
      </c>
      <c r="Y91" s="16">
        <f t="shared" si="179"/>
        <v>0.0254586846</v>
      </c>
      <c r="Z91" s="16">
        <f t="shared" si="180"/>
        <v>0.03030340863</v>
      </c>
      <c r="AA91" s="16">
        <f t="shared" si="181"/>
        <v>0.03767677962</v>
      </c>
      <c r="AB91" s="16"/>
      <c r="AC91" s="16">
        <f t="shared" ref="AC91:AD91" si="195">IFERROR((C91/B91)-1, "")</f>
        <v>0.3436589168</v>
      </c>
      <c r="AD91" s="16">
        <f t="shared" si="195"/>
        <v>0.0375476816</v>
      </c>
      <c r="AE91" s="16">
        <f t="shared" si="183"/>
        <v>-0.05532678822</v>
      </c>
      <c r="AF91" s="16">
        <f t="shared" si="184"/>
        <v>0.2684593518</v>
      </c>
      <c r="AG91" s="16">
        <f t="shared" si="185"/>
        <v>0.3078560504</v>
      </c>
      <c r="AH91" s="16"/>
      <c r="AI91" s="22"/>
    </row>
    <row r="92" hidden="1" outlineLevel="1">
      <c r="A92" s="24" t="s">
        <v>102</v>
      </c>
      <c r="B92" s="28">
        <v>0.0</v>
      </c>
      <c r="C92" s="28">
        <v>17232.69846</v>
      </c>
      <c r="D92" s="28">
        <v>0.0</v>
      </c>
      <c r="E92" s="29">
        <v>0.0</v>
      </c>
      <c r="F92" s="29">
        <v>0.0</v>
      </c>
      <c r="G92" s="29">
        <v>0.0</v>
      </c>
      <c r="H92" s="29">
        <v>0.0</v>
      </c>
      <c r="I92" s="28">
        <v>0.0</v>
      </c>
      <c r="J92" s="29">
        <v>0.0</v>
      </c>
      <c r="K92" s="29">
        <v>0.0</v>
      </c>
      <c r="L92" s="29">
        <v>0.0</v>
      </c>
      <c r="M92" s="29">
        <v>0.0</v>
      </c>
      <c r="N92" s="28">
        <v>0.0</v>
      </c>
      <c r="O92" s="29">
        <v>0.0</v>
      </c>
      <c r="P92" s="29">
        <v>0.0</v>
      </c>
      <c r="Q92" s="29">
        <v>0.0</v>
      </c>
      <c r="R92" s="29">
        <v>0.0</v>
      </c>
      <c r="S92" s="28">
        <v>0.0</v>
      </c>
      <c r="T92" s="29">
        <v>0.0</v>
      </c>
      <c r="U92" s="1"/>
      <c r="V92" s="16">
        <f t="shared" ref="V92:X92" si="196">IFERROR(B92/B$4, "")</f>
        <v>0</v>
      </c>
      <c r="W92" s="16">
        <f t="shared" si="196"/>
        <v>0.001675008822</v>
      </c>
      <c r="X92" s="16">
        <f t="shared" si="196"/>
        <v>0</v>
      </c>
      <c r="Y92" s="16">
        <f t="shared" si="179"/>
        <v>0</v>
      </c>
      <c r="Z92" s="16">
        <f t="shared" si="180"/>
        <v>0</v>
      </c>
      <c r="AA92" s="16">
        <f t="shared" si="181"/>
        <v>0</v>
      </c>
      <c r="AB92" s="16"/>
      <c r="AC92" s="16" t="str">
        <f t="shared" ref="AC92:AD92" si="197">IFERROR((C92/B92)-1, "")</f>
        <v/>
      </c>
      <c r="AD92" s="16">
        <f t="shared" si="197"/>
        <v>-1</v>
      </c>
      <c r="AE92" s="16" t="str">
        <f t="shared" si="183"/>
        <v/>
      </c>
      <c r="AF92" s="16" t="str">
        <f t="shared" si="184"/>
        <v/>
      </c>
      <c r="AG92" s="16" t="str">
        <f t="shared" si="185"/>
        <v/>
      </c>
      <c r="AH92" s="16"/>
      <c r="AI92" s="22"/>
    </row>
    <row r="93" hidden="1" outlineLevel="1">
      <c r="A93" s="24" t="s">
        <v>113</v>
      </c>
      <c r="B93" s="28">
        <v>0.0</v>
      </c>
      <c r="C93" s="28">
        <v>12256.53317</v>
      </c>
      <c r="D93" s="28">
        <v>33850.330630000004</v>
      </c>
      <c r="E93" s="29">
        <v>4998.57483</v>
      </c>
      <c r="F93" s="29">
        <v>3153.05586</v>
      </c>
      <c r="G93" s="29">
        <v>1034.55641</v>
      </c>
      <c r="H93" s="29">
        <v>10332.00733</v>
      </c>
      <c r="I93" s="28">
        <v>19518.19443</v>
      </c>
      <c r="J93" s="29">
        <v>0.0</v>
      </c>
      <c r="K93" s="29">
        <v>0.0</v>
      </c>
      <c r="L93" s="29">
        <v>0.0</v>
      </c>
      <c r="M93" s="29">
        <v>0.0</v>
      </c>
      <c r="N93" s="28">
        <v>0.0</v>
      </c>
      <c r="O93" s="29">
        <v>0.0</v>
      </c>
      <c r="P93" s="29">
        <v>0.0</v>
      </c>
      <c r="Q93" s="29">
        <v>0.0</v>
      </c>
      <c r="R93" s="29">
        <v>0.0</v>
      </c>
      <c r="S93" s="28">
        <v>0.0</v>
      </c>
      <c r="T93" s="29">
        <v>0.0</v>
      </c>
      <c r="U93" s="1"/>
      <c r="V93" s="16">
        <f t="shared" ref="V93:X93" si="198">IFERROR(B93/B$4, "")</f>
        <v>0</v>
      </c>
      <c r="W93" s="16">
        <f t="shared" si="198"/>
        <v>0.00119132829</v>
      </c>
      <c r="X93" s="16">
        <f t="shared" si="198"/>
        <v>0.003347976984</v>
      </c>
      <c r="Y93" s="16">
        <f t="shared" si="179"/>
        <v>0.001967311827</v>
      </c>
      <c r="Z93" s="16">
        <f t="shared" si="180"/>
        <v>0</v>
      </c>
      <c r="AA93" s="16">
        <f t="shared" si="181"/>
        <v>0</v>
      </c>
      <c r="AB93" s="16"/>
      <c r="AC93" s="16" t="str">
        <f t="shared" ref="AC93:AD93" si="199">IFERROR((C93/B93)-1, "")</f>
        <v/>
      </c>
      <c r="AD93" s="16">
        <f t="shared" si="199"/>
        <v>1.761819363</v>
      </c>
      <c r="AE93" s="16">
        <f t="shared" si="183"/>
        <v>-0.4233972293</v>
      </c>
      <c r="AF93" s="16">
        <f t="shared" si="184"/>
        <v>-1</v>
      </c>
      <c r="AG93" s="16" t="str">
        <f t="shared" si="185"/>
        <v/>
      </c>
      <c r="AH93" s="16"/>
      <c r="AI93" s="22"/>
    </row>
    <row r="94" hidden="1" outlineLevel="1">
      <c r="A94" s="24" t="s">
        <v>104</v>
      </c>
      <c r="B94" s="28">
        <v>0.0</v>
      </c>
      <c r="C94" s="28">
        <v>48367.793</v>
      </c>
      <c r="D94" s="28">
        <v>0.0</v>
      </c>
      <c r="E94" s="29">
        <v>0.0</v>
      </c>
      <c r="F94" s="29">
        <v>0.0</v>
      </c>
      <c r="G94" s="29">
        <v>0.0</v>
      </c>
      <c r="H94" s="29">
        <v>0.0</v>
      </c>
      <c r="I94" s="28">
        <v>0.0</v>
      </c>
      <c r="J94" s="29">
        <v>0.0</v>
      </c>
      <c r="K94" s="29">
        <v>0.0</v>
      </c>
      <c r="L94" s="29">
        <v>0.0</v>
      </c>
      <c r="M94" s="29">
        <v>25553.0</v>
      </c>
      <c r="N94" s="28">
        <v>25553.0</v>
      </c>
      <c r="O94" s="29">
        <v>0.0</v>
      </c>
      <c r="P94" s="29">
        <v>0.0</v>
      </c>
      <c r="Q94" s="29">
        <v>0.0</v>
      </c>
      <c r="R94" s="29">
        <v>0.0</v>
      </c>
      <c r="S94" s="28">
        <v>0.0</v>
      </c>
      <c r="T94" s="29">
        <v>0.0</v>
      </c>
      <c r="U94" s="1"/>
      <c r="V94" s="16">
        <f t="shared" ref="V94:X94" si="200">IFERROR(B94/B$4, "")</f>
        <v>0</v>
      </c>
      <c r="W94" s="16">
        <f t="shared" si="200"/>
        <v>0.004701322904</v>
      </c>
      <c r="X94" s="16">
        <f t="shared" si="200"/>
        <v>0</v>
      </c>
      <c r="Y94" s="16">
        <f t="shared" si="179"/>
        <v>0</v>
      </c>
      <c r="Z94" s="16">
        <f t="shared" si="180"/>
        <v>0.00241687631</v>
      </c>
      <c r="AA94" s="16">
        <f t="shared" si="181"/>
        <v>0</v>
      </c>
      <c r="AB94" s="16"/>
      <c r="AC94" s="16" t="str">
        <f t="shared" ref="AC94:AD94" si="201">IFERROR((C94/B94)-1, "")</f>
        <v/>
      </c>
      <c r="AD94" s="16">
        <f t="shared" si="201"/>
        <v>-1</v>
      </c>
      <c r="AE94" s="16" t="str">
        <f t="shared" si="183"/>
        <v/>
      </c>
      <c r="AF94" s="16" t="str">
        <f t="shared" si="184"/>
        <v/>
      </c>
      <c r="AG94" s="16">
        <f t="shared" si="185"/>
        <v>-1</v>
      </c>
      <c r="AH94" s="16"/>
      <c r="AI94" s="22"/>
    </row>
    <row r="95" hidden="1" outlineLevel="1">
      <c r="A95" s="24" t="s">
        <v>114</v>
      </c>
      <c r="B95" s="28">
        <v>0.0</v>
      </c>
      <c r="C95" s="28">
        <v>0.0</v>
      </c>
      <c r="D95" s="28">
        <v>0.0</v>
      </c>
      <c r="E95" s="29">
        <v>0.0</v>
      </c>
      <c r="F95" s="29">
        <v>0.0</v>
      </c>
      <c r="G95" s="29">
        <v>0.0</v>
      </c>
      <c r="H95" s="29">
        <v>0.0</v>
      </c>
      <c r="I95" s="28">
        <v>0.0</v>
      </c>
      <c r="J95" s="29">
        <v>13220.00065</v>
      </c>
      <c r="K95" s="29">
        <v>-4409.76477</v>
      </c>
      <c r="L95" s="29">
        <v>1723.7369</v>
      </c>
      <c r="M95" s="29">
        <v>1184.0</v>
      </c>
      <c r="N95" s="28">
        <v>11717.97278</v>
      </c>
      <c r="O95" s="29">
        <v>3158.08</v>
      </c>
      <c r="P95" s="29">
        <v>1537.81455</v>
      </c>
      <c r="Q95" s="29">
        <v>2016.85491</v>
      </c>
      <c r="R95" s="29">
        <v>2773.41423</v>
      </c>
      <c r="S95" s="28">
        <v>9486.16369</v>
      </c>
      <c r="T95" s="29">
        <v>6782.4363104018</v>
      </c>
      <c r="U95" s="1"/>
      <c r="V95" s="16">
        <f t="shared" ref="V95:X95" si="202">IFERROR(B95/B$4, "")</f>
        <v>0</v>
      </c>
      <c r="W95" s="16">
        <f t="shared" si="202"/>
        <v>0</v>
      </c>
      <c r="X95" s="16">
        <f t="shared" si="202"/>
        <v>0</v>
      </c>
      <c r="Y95" s="16">
        <f t="shared" si="179"/>
        <v>0</v>
      </c>
      <c r="Z95" s="16">
        <f t="shared" si="180"/>
        <v>0.001108319603</v>
      </c>
      <c r="AA95" s="16">
        <f t="shared" si="181"/>
        <v>0.0008529537659</v>
      </c>
      <c r="AB95" s="16"/>
      <c r="AC95" s="16" t="str">
        <f t="shared" ref="AC95:AD95" si="203">IFERROR((C95/B95)-1, "")</f>
        <v/>
      </c>
      <c r="AD95" s="16" t="str">
        <f t="shared" si="203"/>
        <v/>
      </c>
      <c r="AE95" s="16" t="str">
        <f t="shared" si="183"/>
        <v/>
      </c>
      <c r="AF95" s="16" t="str">
        <f t="shared" si="184"/>
        <v/>
      </c>
      <c r="AG95" s="16">
        <f t="shared" si="185"/>
        <v>-0.1904603409</v>
      </c>
      <c r="AH95" s="16"/>
      <c r="AI95" s="22"/>
    </row>
    <row r="96" collapsed="1">
      <c r="A96" s="18" t="s">
        <v>115</v>
      </c>
      <c r="B96" s="27">
        <v>-1174567.0091831111</v>
      </c>
      <c r="C96" s="27">
        <v>-1345726.8143627422</v>
      </c>
      <c r="D96" s="27">
        <v>-1916205.6110473613</v>
      </c>
      <c r="E96" s="26">
        <v>-468610.91739</v>
      </c>
      <c r="F96" s="26">
        <v>-459543.22312</v>
      </c>
      <c r="G96" s="26">
        <v>-503894.77093000006</v>
      </c>
      <c r="H96" s="26">
        <v>-633079.5526271623</v>
      </c>
      <c r="I96" s="27">
        <v>-2065128.4640671625</v>
      </c>
      <c r="J96" s="26">
        <v>-503924.27368</v>
      </c>
      <c r="K96" s="26">
        <f>SUM(K85:K95)</f>
        <v>-514372.9385</v>
      </c>
      <c r="L96" s="26">
        <v>-577912.24053</v>
      </c>
      <c r="M96" s="26">
        <v>-597048.5678109346</v>
      </c>
      <c r="N96" s="27">
        <v>-2193258.0205609347</v>
      </c>
      <c r="O96" s="26">
        <v>-546962.0948708693</v>
      </c>
      <c r="P96" s="26">
        <v>-575648.5260199999</v>
      </c>
      <c r="Q96" s="26">
        <v>-598054.5734400001</v>
      </c>
      <c r="R96" s="26">
        <f>SUM(R85:R95)</f>
        <v>-624826.4855</v>
      </c>
      <c r="S96" s="27">
        <v>-2345491.679870869</v>
      </c>
      <c r="T96" s="26">
        <v>-581153.169949598</v>
      </c>
      <c r="U96" s="1"/>
      <c r="V96" s="16">
        <f t="shared" ref="V96:X96" si="204">IFERROR(B96/B$4, "")</f>
        <v>-0.1259265861</v>
      </c>
      <c r="W96" s="16">
        <f t="shared" si="204"/>
        <v>-0.1308039069</v>
      </c>
      <c r="X96" s="16">
        <f t="shared" si="204"/>
        <v>-0.1895228839</v>
      </c>
      <c r="Y96" s="16">
        <f t="shared" si="179"/>
        <v>-0.2081520228</v>
      </c>
      <c r="Z96" s="16">
        <f t="shared" si="180"/>
        <v>-0.2074446582</v>
      </c>
      <c r="AA96" s="16">
        <f t="shared" si="181"/>
        <v>-0.2108962091</v>
      </c>
      <c r="AB96" s="16"/>
      <c r="AC96" s="16">
        <f t="shared" ref="AC96:AD96" si="205">IFERROR((C96/B96)-1, "")</f>
        <v>0.1457216181</v>
      </c>
      <c r="AD96" s="16">
        <f t="shared" si="205"/>
        <v>0.423918726</v>
      </c>
      <c r="AE96" s="16">
        <f t="shared" si="183"/>
        <v>0.07771757486</v>
      </c>
      <c r="AF96" s="16">
        <f t="shared" si="184"/>
        <v>0.06204435159</v>
      </c>
      <c r="AG96" s="16">
        <f t="shared" si="185"/>
        <v>0.06940982679</v>
      </c>
      <c r="AH96" s="16"/>
      <c r="AI96" s="22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43"/>
      <c r="P97" s="1"/>
      <c r="Q97" s="1"/>
      <c r="R97" s="1"/>
      <c r="S97" s="1"/>
      <c r="T97" s="43"/>
      <c r="U97" s="1"/>
      <c r="V97" s="16"/>
      <c r="W97" s="16"/>
      <c r="X97" s="16"/>
      <c r="Y97" s="16"/>
      <c r="Z97" s="16"/>
      <c r="AA97" s="16"/>
      <c r="AB97" s="16"/>
      <c r="AC97" s="16" t="str">
        <f t="shared" ref="AC97:AD97" si="206">IFERROR((C97/B97)-1, "")</f>
        <v/>
      </c>
      <c r="AD97" s="16" t="str">
        <f t="shared" si="206"/>
        <v/>
      </c>
      <c r="AE97" s="16" t="str">
        <f t="shared" si="183"/>
        <v/>
      </c>
      <c r="AF97" s="16" t="str">
        <f t="shared" si="184"/>
        <v/>
      </c>
      <c r="AG97" s="16" t="str">
        <f t="shared" si="185"/>
        <v/>
      </c>
      <c r="AH97" s="16"/>
      <c r="AI97" s="22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6"/>
      <c r="W98" s="16"/>
      <c r="X98" s="16"/>
      <c r="Y98" s="16"/>
      <c r="Z98" s="16"/>
      <c r="AA98" s="16"/>
      <c r="AB98" s="16"/>
      <c r="AC98" s="16" t="str">
        <f t="shared" ref="AC98:AD98" si="207">IFERROR((C98/B98)-1, "")</f>
        <v/>
      </c>
      <c r="AD98" s="16" t="str">
        <f t="shared" si="207"/>
        <v/>
      </c>
      <c r="AE98" s="16" t="str">
        <f t="shared" si="183"/>
        <v/>
      </c>
      <c r="AF98" s="16" t="str">
        <f t="shared" si="184"/>
        <v/>
      </c>
      <c r="AG98" s="16" t="str">
        <f t="shared" si="185"/>
        <v/>
      </c>
      <c r="AH98" s="16"/>
      <c r="AI98" s="22"/>
    </row>
    <row r="99">
      <c r="A99" s="39" t="s">
        <v>116</v>
      </c>
      <c r="B99" s="3">
        <v>2020.0</v>
      </c>
      <c r="C99" s="3">
        <v>2021.0</v>
      </c>
      <c r="D99" s="3">
        <v>2022.0</v>
      </c>
      <c r="E99" s="4" t="s">
        <v>1</v>
      </c>
      <c r="F99" s="4" t="s">
        <v>2</v>
      </c>
      <c r="G99" s="4" t="s">
        <v>3</v>
      </c>
      <c r="H99" s="4" t="s">
        <v>4</v>
      </c>
      <c r="I99" s="4">
        <v>2023.0</v>
      </c>
      <c r="J99" s="4" t="s">
        <v>5</v>
      </c>
      <c r="K99" s="4" t="s">
        <v>6</v>
      </c>
      <c r="L99" s="4" t="s">
        <v>7</v>
      </c>
      <c r="M99" s="4" t="s">
        <v>8</v>
      </c>
      <c r="N99" s="4">
        <v>2024.0</v>
      </c>
      <c r="O99" s="4" t="s">
        <v>9</v>
      </c>
      <c r="P99" s="4" t="s">
        <v>10</v>
      </c>
      <c r="Q99" s="4" t="s">
        <v>11</v>
      </c>
      <c r="R99" s="4" t="s">
        <v>12</v>
      </c>
      <c r="S99" s="4">
        <v>2025.0</v>
      </c>
      <c r="T99" s="4" t="s">
        <v>13</v>
      </c>
      <c r="U99" s="1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22"/>
    </row>
    <row r="100">
      <c r="A100" s="10"/>
      <c r="B100" s="3">
        <v>2020.0</v>
      </c>
      <c r="C100" s="3">
        <v>2021.0</v>
      </c>
      <c r="D100" s="3">
        <v>2022.0</v>
      </c>
      <c r="E100" s="4" t="s">
        <v>16</v>
      </c>
      <c r="F100" s="4" t="s">
        <v>17</v>
      </c>
      <c r="G100" s="4" t="s">
        <v>18</v>
      </c>
      <c r="H100" s="4" t="s">
        <v>19</v>
      </c>
      <c r="I100" s="4">
        <v>2023.0</v>
      </c>
      <c r="J100" s="4" t="s">
        <v>20</v>
      </c>
      <c r="K100" s="4" t="s">
        <v>21</v>
      </c>
      <c r="L100" s="4" t="s">
        <v>22</v>
      </c>
      <c r="M100" s="4" t="s">
        <v>23</v>
      </c>
      <c r="N100" s="4">
        <v>2024.0</v>
      </c>
      <c r="O100" s="4" t="s">
        <v>24</v>
      </c>
      <c r="P100" s="4" t="s">
        <v>25</v>
      </c>
      <c r="Q100" s="4" t="s">
        <v>26</v>
      </c>
      <c r="R100" s="4" t="s">
        <v>27</v>
      </c>
      <c r="S100" s="4">
        <v>2025.0</v>
      </c>
      <c r="T100" s="4" t="s">
        <v>28</v>
      </c>
      <c r="U100" s="1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22"/>
    </row>
    <row r="101">
      <c r="A101" s="18" t="s">
        <v>117</v>
      </c>
      <c r="B101" s="27">
        <v>4152304.0</v>
      </c>
      <c r="C101" s="27">
        <v>4717097.0</v>
      </c>
      <c r="D101" s="27">
        <v>4226057.0</v>
      </c>
      <c r="E101" s="26">
        <v>1089351.02221</v>
      </c>
      <c r="F101" s="26">
        <v>1052794.0</v>
      </c>
      <c r="G101" s="26">
        <v>1074241.0</v>
      </c>
      <c r="H101" s="26">
        <v>915543.0</v>
      </c>
      <c r="I101" s="27">
        <v>4131929.02221</v>
      </c>
      <c r="J101" s="26">
        <v>949583.0</v>
      </c>
      <c r="K101" s="26">
        <v>1244051.0</v>
      </c>
      <c r="L101" s="26">
        <v>1204491.0</v>
      </c>
      <c r="M101" s="26">
        <v>1178456.0</v>
      </c>
      <c r="N101" s="27">
        <v>4576581.0</v>
      </c>
      <c r="O101" s="26">
        <v>1106077.0</v>
      </c>
      <c r="P101" s="26">
        <v>1325647.0</v>
      </c>
      <c r="Q101" s="26">
        <v>1246111.0</v>
      </c>
      <c r="R101" s="26">
        <v>907784.0</v>
      </c>
      <c r="S101" s="27">
        <v>4585619.0</v>
      </c>
      <c r="T101" s="26">
        <v>1476968.0</v>
      </c>
      <c r="U101" s="1"/>
      <c r="V101" s="16">
        <f t="shared" ref="V101:X101" si="208">IFERROR(B101/B$4, "")</f>
        <v>0.4451729556</v>
      </c>
      <c r="W101" s="16">
        <f t="shared" si="208"/>
        <v>0.4584992366</v>
      </c>
      <c r="X101" s="16">
        <f t="shared" si="208"/>
        <v>0.4179794202</v>
      </c>
      <c r="Y101" s="16">
        <f>IFERROR(I101/I$4, "")</f>
        <v>0.4164725822</v>
      </c>
      <c r="Z101" s="16">
        <f>IFERROR(N101/N$4, "")</f>
        <v>0.4328662074</v>
      </c>
      <c r="AA101" s="16">
        <f>IFERROR(S101/S$4, "")</f>
        <v>0.4123185223</v>
      </c>
      <c r="AB101" s="16"/>
      <c r="AC101" s="16">
        <f t="shared" ref="AC101:AD101" si="209">IFERROR((C101/B101)-1, "")</f>
        <v>0.1360191836</v>
      </c>
      <c r="AD101" s="16">
        <f t="shared" si="209"/>
        <v>-0.1040979229</v>
      </c>
      <c r="AE101" s="16">
        <f t="shared" ref="AE101:AE125" si="211">IFERROR((I101/D101)-1, "")</f>
        <v>-0.02227323905</v>
      </c>
      <c r="AF101" s="16">
        <f t="shared" ref="AF101:AF125" si="212">IFERROR((N101/I101)-1, "")</f>
        <v>0.1076136534</v>
      </c>
      <c r="AG101" s="16">
        <f t="shared" ref="AG101:AG125" si="213">IFERROR((S101/N101)-1, "")</f>
        <v>0.001974836674</v>
      </c>
      <c r="AH101" s="16"/>
      <c r="AI101" s="22"/>
    </row>
    <row r="102" outlineLevel="1">
      <c r="A102" s="24" t="s">
        <v>93</v>
      </c>
      <c r="B102" s="28">
        <v>0.0</v>
      </c>
      <c r="C102" s="28">
        <v>0.0</v>
      </c>
      <c r="D102" s="28">
        <v>0.0</v>
      </c>
      <c r="E102" s="29">
        <v>0.0</v>
      </c>
      <c r="F102" s="29">
        <v>0.0</v>
      </c>
      <c r="G102" s="29">
        <v>0.0</v>
      </c>
      <c r="H102" s="29">
        <v>0.0</v>
      </c>
      <c r="I102" s="28">
        <v>0.0</v>
      </c>
      <c r="J102" s="29">
        <v>0.0</v>
      </c>
      <c r="K102" s="29">
        <v>0.0</v>
      </c>
      <c r="L102" s="29">
        <v>0.0</v>
      </c>
      <c r="M102" s="29">
        <v>0.0</v>
      </c>
      <c r="N102" s="28">
        <v>0.0</v>
      </c>
      <c r="O102" s="29">
        <v>0.0</v>
      </c>
      <c r="P102" s="29">
        <v>0.0</v>
      </c>
      <c r="Q102" s="29">
        <v>0.0</v>
      </c>
      <c r="R102" s="29">
        <v>0.0</v>
      </c>
      <c r="S102" s="28">
        <v>0.0</v>
      </c>
      <c r="T102" s="29">
        <v>0.0</v>
      </c>
      <c r="U102" s="1"/>
      <c r="V102" s="16"/>
      <c r="W102" s="16"/>
      <c r="X102" s="16"/>
      <c r="Y102" s="16"/>
      <c r="Z102" s="16"/>
      <c r="AA102" s="16"/>
      <c r="AB102" s="16"/>
      <c r="AC102" s="16" t="str">
        <f t="shared" ref="AC102:AD102" si="210">IFERROR((C102/B102)-1, "")</f>
        <v/>
      </c>
      <c r="AD102" s="16" t="str">
        <f t="shared" si="210"/>
        <v/>
      </c>
      <c r="AE102" s="16" t="str">
        <f t="shared" si="211"/>
        <v/>
      </c>
      <c r="AF102" s="16" t="str">
        <f t="shared" si="212"/>
        <v/>
      </c>
      <c r="AG102" s="16" t="str">
        <f t="shared" si="213"/>
        <v/>
      </c>
      <c r="AH102" s="16"/>
      <c r="AI102" s="22"/>
    </row>
    <row r="103" outlineLevel="1">
      <c r="A103" s="24" t="s">
        <v>118</v>
      </c>
      <c r="B103" s="28">
        <v>-338657.93013</v>
      </c>
      <c r="C103" s="28">
        <v>-69595.3076</v>
      </c>
      <c r="D103" s="28">
        <v>0.0</v>
      </c>
      <c r="E103" s="29">
        <v>0.0</v>
      </c>
      <c r="F103" s="29">
        <v>0.0</v>
      </c>
      <c r="G103" s="29">
        <v>0.0</v>
      </c>
      <c r="H103" s="29">
        <v>0.0</v>
      </c>
      <c r="I103" s="28">
        <v>0.0</v>
      </c>
      <c r="J103" s="29">
        <v>0.0</v>
      </c>
      <c r="K103" s="29">
        <v>0.0</v>
      </c>
      <c r="L103" s="29">
        <v>0.0</v>
      </c>
      <c r="M103" s="29">
        <v>0.0</v>
      </c>
      <c r="N103" s="28">
        <v>0.0</v>
      </c>
      <c r="O103" s="29">
        <v>0.0</v>
      </c>
      <c r="P103" s="29">
        <v>0.0</v>
      </c>
      <c r="Q103" s="29">
        <v>0.0</v>
      </c>
      <c r="R103" s="29">
        <v>0.0</v>
      </c>
      <c r="S103" s="28">
        <v>0.0</v>
      </c>
      <c r="T103" s="29">
        <v>0.0</v>
      </c>
      <c r="U103" s="1"/>
      <c r="V103" s="16">
        <f t="shared" ref="V103:X103" si="214">IFERROR(B103/B$4, "")</f>
        <v>-0.03630787912</v>
      </c>
      <c r="W103" s="16">
        <f t="shared" si="214"/>
        <v>-0.00676462566</v>
      </c>
      <c r="X103" s="16">
        <f t="shared" si="214"/>
        <v>0</v>
      </c>
      <c r="Y103" s="16">
        <f t="shared" ref="Y103:Y125" si="217">IFERROR(I103/I$4, "")</f>
        <v>0</v>
      </c>
      <c r="Z103" s="16">
        <f t="shared" ref="Z103:Z125" si="218">IFERROR(N103/N$4, "")</f>
        <v>0</v>
      </c>
      <c r="AA103" s="16">
        <f t="shared" ref="AA103:AA125" si="219">IFERROR(S103/S$4, "")</f>
        <v>0</v>
      </c>
      <c r="AB103" s="16"/>
      <c r="AC103" s="16">
        <f t="shared" ref="AC103:AD103" si="215">IFERROR((C103/B103)-1, "")</f>
        <v>-0.7944967431</v>
      </c>
      <c r="AD103" s="16">
        <f t="shared" si="215"/>
        <v>-1</v>
      </c>
      <c r="AE103" s="16" t="str">
        <f t="shared" si="211"/>
        <v/>
      </c>
      <c r="AF103" s="16" t="str">
        <f t="shared" si="212"/>
        <v/>
      </c>
      <c r="AG103" s="16" t="str">
        <f t="shared" si="213"/>
        <v/>
      </c>
      <c r="AH103" s="16"/>
      <c r="AI103" s="22"/>
    </row>
    <row r="104" outlineLevel="1">
      <c r="A104" s="24" t="s">
        <v>119</v>
      </c>
      <c r="B104" s="28">
        <v>0.0</v>
      </c>
      <c r="C104" s="28">
        <v>-150222.9208</v>
      </c>
      <c r="D104" s="28">
        <v>0.0</v>
      </c>
      <c r="E104" s="29">
        <v>0.0</v>
      </c>
      <c r="F104" s="29">
        <v>0.0</v>
      </c>
      <c r="G104" s="29">
        <v>0.0</v>
      </c>
      <c r="H104" s="29">
        <v>0.0</v>
      </c>
      <c r="I104" s="28">
        <v>0.0</v>
      </c>
      <c r="J104" s="29">
        <v>0.0</v>
      </c>
      <c r="K104" s="29">
        <v>0.0</v>
      </c>
      <c r="L104" s="29">
        <v>0.0</v>
      </c>
      <c r="M104" s="29">
        <v>0.0</v>
      </c>
      <c r="N104" s="28">
        <v>0.0</v>
      </c>
      <c r="O104" s="29">
        <v>0.0</v>
      </c>
      <c r="P104" s="29">
        <v>0.0</v>
      </c>
      <c r="Q104" s="29">
        <v>0.0</v>
      </c>
      <c r="R104" s="29">
        <v>0.0</v>
      </c>
      <c r="S104" s="28">
        <v>0.0</v>
      </c>
      <c r="T104" s="29">
        <v>0.0</v>
      </c>
      <c r="U104" s="1"/>
      <c r="V104" s="16">
        <f t="shared" ref="V104:X104" si="216">IFERROR(B104/B$4, "")</f>
        <v>0</v>
      </c>
      <c r="W104" s="16">
        <f t="shared" si="216"/>
        <v>-0.01460158536</v>
      </c>
      <c r="X104" s="16">
        <f t="shared" si="216"/>
        <v>0</v>
      </c>
      <c r="Y104" s="16">
        <f t="shared" si="217"/>
        <v>0</v>
      </c>
      <c r="Z104" s="16">
        <f t="shared" si="218"/>
        <v>0</v>
      </c>
      <c r="AA104" s="16">
        <f t="shared" si="219"/>
        <v>0</v>
      </c>
      <c r="AB104" s="16"/>
      <c r="AC104" s="16" t="str">
        <f t="shared" ref="AC104:AD104" si="220">IFERROR((C104/B104)-1, "")</f>
        <v/>
      </c>
      <c r="AD104" s="16">
        <f t="shared" si="220"/>
        <v>-1</v>
      </c>
      <c r="AE104" s="16" t="str">
        <f t="shared" si="211"/>
        <v/>
      </c>
      <c r="AF104" s="16" t="str">
        <f t="shared" si="212"/>
        <v/>
      </c>
      <c r="AG104" s="16" t="str">
        <f t="shared" si="213"/>
        <v/>
      </c>
      <c r="AH104" s="16"/>
      <c r="AI104" s="22"/>
    </row>
    <row r="105" outlineLevel="1">
      <c r="A105" s="24" t="s">
        <v>120</v>
      </c>
      <c r="B105" s="28">
        <v>80385.0</v>
      </c>
      <c r="C105" s="28">
        <v>4113.8577</v>
      </c>
      <c r="D105" s="28">
        <v>0.0</v>
      </c>
      <c r="E105" s="29">
        <v>0.0</v>
      </c>
      <c r="F105" s="29">
        <v>0.0</v>
      </c>
      <c r="G105" s="29">
        <v>0.0</v>
      </c>
      <c r="H105" s="29">
        <v>0.0</v>
      </c>
      <c r="I105" s="28">
        <v>0.0</v>
      </c>
      <c r="J105" s="29">
        <v>67594.84843</v>
      </c>
      <c r="K105" s="29">
        <v>0.0</v>
      </c>
      <c r="L105" s="29">
        <v>0.0</v>
      </c>
      <c r="M105" s="29">
        <v>0.0</v>
      </c>
      <c r="N105" s="28">
        <v>67594.84843</v>
      </c>
      <c r="O105" s="29">
        <v>0.0</v>
      </c>
      <c r="P105" s="29">
        <v>0.0</v>
      </c>
      <c r="Q105" s="29">
        <v>0.0</v>
      </c>
      <c r="R105" s="29">
        <v>0.0</v>
      </c>
      <c r="S105" s="28">
        <v>0.0</v>
      </c>
      <c r="T105" s="29">
        <v>0.0</v>
      </c>
      <c r="U105" s="1"/>
      <c r="V105" s="16">
        <f t="shared" ref="V105:X105" si="221">IFERROR(B105/B$4, "")</f>
        <v>0.008618161877</v>
      </c>
      <c r="W105" s="16">
        <f t="shared" si="221"/>
        <v>0.0003998647081</v>
      </c>
      <c r="X105" s="16">
        <f t="shared" si="221"/>
        <v>0</v>
      </c>
      <c r="Y105" s="16">
        <f t="shared" si="217"/>
        <v>0</v>
      </c>
      <c r="Z105" s="16">
        <f t="shared" si="218"/>
        <v>0.006393315377</v>
      </c>
      <c r="AA105" s="16">
        <f t="shared" si="219"/>
        <v>0</v>
      </c>
      <c r="AB105" s="16"/>
      <c r="AC105" s="16">
        <f t="shared" ref="AC105:AD105" si="222">IFERROR((C105/B105)-1, "")</f>
        <v>-0.9488230677</v>
      </c>
      <c r="AD105" s="16">
        <f t="shared" si="222"/>
        <v>-1</v>
      </c>
      <c r="AE105" s="16" t="str">
        <f t="shared" si="211"/>
        <v/>
      </c>
      <c r="AF105" s="16" t="str">
        <f t="shared" si="212"/>
        <v/>
      </c>
      <c r="AG105" s="16">
        <f t="shared" si="213"/>
        <v>-1</v>
      </c>
      <c r="AH105" s="16"/>
      <c r="AI105" s="22"/>
    </row>
    <row r="106" outlineLevel="1">
      <c r="A106" s="24" t="s">
        <v>121</v>
      </c>
      <c r="B106" s="28">
        <v>87415.2473518556</v>
      </c>
      <c r="C106" s="28">
        <v>46866.5964618</v>
      </c>
      <c r="D106" s="28">
        <v>-20691.832414200002</v>
      </c>
      <c r="E106" s="29">
        <v>-1699.5154422</v>
      </c>
      <c r="F106" s="29">
        <v>-1072.0389924</v>
      </c>
      <c r="G106" s="29">
        <v>-38736.5415541385</v>
      </c>
      <c r="H106" s="29">
        <v>-3512.8824922</v>
      </c>
      <c r="I106" s="28">
        <v>-45020.9784809385</v>
      </c>
      <c r="J106" s="29">
        <v>-22756.6436184</v>
      </c>
      <c r="K106" s="29">
        <v>16193.4008266</v>
      </c>
      <c r="L106" s="29">
        <v>-586.0705459999999</v>
      </c>
      <c r="M106" s="29">
        <v>-1117.5994616</v>
      </c>
      <c r="N106" s="28">
        <v>-8266.912799400001</v>
      </c>
      <c r="O106" s="29">
        <v>-1073.7472</v>
      </c>
      <c r="P106" s="29">
        <v>34769.6474668</v>
      </c>
      <c r="Q106" s="29">
        <v>4649.1751537998</v>
      </c>
      <c r="R106" s="29">
        <v>-942.9608382</v>
      </c>
      <c r="S106" s="28">
        <v>37402.1145823998</v>
      </c>
      <c r="T106" s="29">
        <v>-2306.02834553661</v>
      </c>
      <c r="U106" s="1"/>
      <c r="V106" s="16">
        <f t="shared" ref="V106:X106" si="223">IFERROR(B106/B$4, "")</f>
        <v>0.009371882219</v>
      </c>
      <c r="W106" s="16">
        <f t="shared" si="223"/>
        <v>0.004555407425</v>
      </c>
      <c r="X106" s="16">
        <f t="shared" si="223"/>
        <v>-0.002046531818</v>
      </c>
      <c r="Y106" s="16">
        <f t="shared" si="217"/>
        <v>-0.004537832828</v>
      </c>
      <c r="Z106" s="16">
        <f t="shared" si="218"/>
        <v>-0.0007819084138</v>
      </c>
      <c r="AA106" s="16">
        <f t="shared" si="219"/>
        <v>0.003363032257</v>
      </c>
      <c r="AB106" s="16"/>
      <c r="AC106" s="16">
        <f t="shared" ref="AC106:AD106" si="224">IFERROR((C106/B106)-1, "")</f>
        <v>-0.463862451</v>
      </c>
      <c r="AD106" s="16">
        <f t="shared" si="224"/>
        <v>-1.441504909</v>
      </c>
      <c r="AE106" s="16">
        <f t="shared" si="211"/>
        <v>1.175784995</v>
      </c>
      <c r="AF106" s="16">
        <f t="shared" si="212"/>
        <v>-0.8163764299</v>
      </c>
      <c r="AG106" s="16">
        <f t="shared" si="213"/>
        <v>-5.524314637</v>
      </c>
      <c r="AH106" s="16"/>
      <c r="AI106" s="22"/>
    </row>
    <row r="107" outlineLevel="1">
      <c r="A107" s="24" t="s">
        <v>122</v>
      </c>
      <c r="B107" s="28">
        <v>0.0</v>
      </c>
      <c r="C107" s="28">
        <v>0.0</v>
      </c>
      <c r="D107" s="28">
        <v>0.0</v>
      </c>
      <c r="E107" s="29">
        <v>0.0</v>
      </c>
      <c r="F107" s="29">
        <v>0.0</v>
      </c>
      <c r="G107" s="29">
        <v>0.0</v>
      </c>
      <c r="H107" s="29">
        <v>0.0</v>
      </c>
      <c r="I107" s="28">
        <v>0.0</v>
      </c>
      <c r="J107" s="29">
        <v>0.0</v>
      </c>
      <c r="K107" s="29">
        <v>0.0</v>
      </c>
      <c r="L107" s="29">
        <v>0.0</v>
      </c>
      <c r="M107" s="29">
        <v>0.0</v>
      </c>
      <c r="N107" s="28">
        <v>0.0</v>
      </c>
      <c r="O107" s="29">
        <v>0.0</v>
      </c>
      <c r="P107" s="29">
        <v>0.0</v>
      </c>
      <c r="Q107" s="29">
        <v>0.0</v>
      </c>
      <c r="R107" s="29">
        <v>0.0</v>
      </c>
      <c r="S107" s="28">
        <v>0.0</v>
      </c>
      <c r="T107" s="29">
        <v>0.0</v>
      </c>
      <c r="U107" s="1"/>
      <c r="V107" s="16">
        <f t="shared" ref="V107:X107" si="225">IFERROR(B107/B$4, "")</f>
        <v>0</v>
      </c>
      <c r="W107" s="16">
        <f t="shared" si="225"/>
        <v>0</v>
      </c>
      <c r="X107" s="16">
        <f t="shared" si="225"/>
        <v>0</v>
      </c>
      <c r="Y107" s="16">
        <f t="shared" si="217"/>
        <v>0</v>
      </c>
      <c r="Z107" s="16">
        <f t="shared" si="218"/>
        <v>0</v>
      </c>
      <c r="AA107" s="16">
        <f t="shared" si="219"/>
        <v>0</v>
      </c>
      <c r="AB107" s="16"/>
      <c r="AC107" s="16" t="str">
        <f t="shared" ref="AC107:AD107" si="226">IFERROR((C107/B107)-1, "")</f>
        <v/>
      </c>
      <c r="AD107" s="16" t="str">
        <f t="shared" si="226"/>
        <v/>
      </c>
      <c r="AE107" s="16" t="str">
        <f t="shared" si="211"/>
        <v/>
      </c>
      <c r="AF107" s="16" t="str">
        <f t="shared" si="212"/>
        <v/>
      </c>
      <c r="AG107" s="16" t="str">
        <f t="shared" si="213"/>
        <v/>
      </c>
      <c r="AH107" s="16"/>
      <c r="AI107" s="22"/>
    </row>
    <row r="108" outlineLevel="1">
      <c r="A108" s="24" t="s">
        <v>104</v>
      </c>
      <c r="B108" s="28">
        <v>0.0</v>
      </c>
      <c r="C108" s="28">
        <v>48367.793</v>
      </c>
      <c r="D108" s="28">
        <v>0.0</v>
      </c>
      <c r="E108" s="29">
        <v>0.0</v>
      </c>
      <c r="F108" s="29">
        <v>0.0</v>
      </c>
      <c r="G108" s="29">
        <v>0.0</v>
      </c>
      <c r="H108" s="29">
        <v>0.0</v>
      </c>
      <c r="I108" s="28">
        <v>0.0</v>
      </c>
      <c r="J108" s="29">
        <v>0.0</v>
      </c>
      <c r="K108" s="29">
        <v>0.0</v>
      </c>
      <c r="L108" s="29">
        <v>0.0</v>
      </c>
      <c r="M108" s="29">
        <v>25553.0</v>
      </c>
      <c r="N108" s="28">
        <v>25553.0</v>
      </c>
      <c r="O108" s="29">
        <v>0.0</v>
      </c>
      <c r="P108" s="29">
        <v>0.0</v>
      </c>
      <c r="Q108" s="29">
        <v>0.0</v>
      </c>
      <c r="R108" s="29">
        <v>0.0</v>
      </c>
      <c r="S108" s="28">
        <v>0.0</v>
      </c>
      <c r="T108" s="29">
        <v>0.0</v>
      </c>
      <c r="U108" s="1"/>
      <c r="V108" s="16">
        <f t="shared" ref="V108:X108" si="227">IFERROR(B108/B$4, "")</f>
        <v>0</v>
      </c>
      <c r="W108" s="16">
        <f t="shared" si="227"/>
        <v>0.004701322904</v>
      </c>
      <c r="X108" s="16">
        <f t="shared" si="227"/>
        <v>0</v>
      </c>
      <c r="Y108" s="16">
        <f t="shared" si="217"/>
        <v>0</v>
      </c>
      <c r="Z108" s="16">
        <f t="shared" si="218"/>
        <v>0.00241687631</v>
      </c>
      <c r="AA108" s="16">
        <f t="shared" si="219"/>
        <v>0</v>
      </c>
      <c r="AB108" s="16"/>
      <c r="AC108" s="16" t="str">
        <f t="shared" ref="AC108:AD108" si="228">IFERROR((C108/B108)-1, "")</f>
        <v/>
      </c>
      <c r="AD108" s="16">
        <f t="shared" si="228"/>
        <v>-1</v>
      </c>
      <c r="AE108" s="16" t="str">
        <f t="shared" si="211"/>
        <v/>
      </c>
      <c r="AF108" s="16" t="str">
        <f t="shared" si="212"/>
        <v/>
      </c>
      <c r="AG108" s="16">
        <f t="shared" si="213"/>
        <v>-1</v>
      </c>
      <c r="AH108" s="16"/>
      <c r="AI108" s="22"/>
    </row>
    <row r="109" outlineLevel="1">
      <c r="A109" s="24" t="s">
        <v>123</v>
      </c>
      <c r="B109" s="28">
        <v>489894.9597234</v>
      </c>
      <c r="C109" s="28">
        <v>461829.0152652</v>
      </c>
      <c r="D109" s="28">
        <v>500336.1463254</v>
      </c>
      <c r="E109" s="29">
        <v>123658.0775166</v>
      </c>
      <c r="F109" s="29">
        <v>127586.4378228</v>
      </c>
      <c r="G109" s="29">
        <v>135455.1183414</v>
      </c>
      <c r="H109" s="29">
        <v>135298.7548902</v>
      </c>
      <c r="I109" s="28">
        <v>521998.38857099996</v>
      </c>
      <c r="J109" s="29">
        <v>136490.24862</v>
      </c>
      <c r="K109" s="29">
        <v>14005.3899018</v>
      </c>
      <c r="L109" s="29">
        <v>20404.4861988</v>
      </c>
      <c r="M109" s="29">
        <v>20403.6461904</v>
      </c>
      <c r="N109" s="28">
        <v>191303.770911</v>
      </c>
      <c r="O109" s="29">
        <v>20403.3406302</v>
      </c>
      <c r="P109" s="29">
        <v>20415.5151222</v>
      </c>
      <c r="Q109" s="29">
        <v>20412.4624242</v>
      </c>
      <c r="R109" s="29">
        <v>20770.6982934</v>
      </c>
      <c r="S109" s="28">
        <v>82002.01647</v>
      </c>
      <c r="T109" s="29">
        <v>20677.9765368</v>
      </c>
      <c r="U109" s="1"/>
      <c r="V109" s="16">
        <f t="shared" ref="V109:X109" si="229">IFERROR(B109/B$4, "")</f>
        <v>0.05252216291</v>
      </c>
      <c r="W109" s="16">
        <f t="shared" si="229"/>
        <v>0.04488952653</v>
      </c>
      <c r="X109" s="16">
        <f t="shared" si="229"/>
        <v>0.04948589485</v>
      </c>
      <c r="Y109" s="16">
        <f t="shared" si="217"/>
        <v>0.05261417019</v>
      </c>
      <c r="Z109" s="16">
        <f t="shared" si="218"/>
        <v>0.01809406144</v>
      </c>
      <c r="AA109" s="16">
        <f t="shared" si="219"/>
        <v>0.007373257625</v>
      </c>
      <c r="AB109" s="16"/>
      <c r="AC109" s="16">
        <f t="shared" ref="AC109:AD109" si="230">IFERROR((C109/B109)-1, "")</f>
        <v>-0.05728971875</v>
      </c>
      <c r="AD109" s="16">
        <f t="shared" si="230"/>
        <v>0.08337962706</v>
      </c>
      <c r="AE109" s="16">
        <f t="shared" si="211"/>
        <v>0.04329537733</v>
      </c>
      <c r="AF109" s="16">
        <f t="shared" si="212"/>
        <v>-0.6335165489</v>
      </c>
      <c r="AG109" s="16">
        <f t="shared" si="213"/>
        <v>-0.5713518031</v>
      </c>
      <c r="AH109" s="16"/>
      <c r="AI109" s="22"/>
    </row>
    <row r="110" outlineLevel="1">
      <c r="A110" s="24" t="s">
        <v>124</v>
      </c>
      <c r="B110" s="28">
        <v>0.0</v>
      </c>
      <c r="C110" s="28">
        <v>0.0</v>
      </c>
      <c r="D110" s="28">
        <v>0.0</v>
      </c>
      <c r="E110" s="29">
        <v>0.0</v>
      </c>
      <c r="F110" s="29">
        <v>0.0</v>
      </c>
      <c r="G110" s="29">
        <v>0.0</v>
      </c>
      <c r="H110" s="29">
        <v>0.0</v>
      </c>
      <c r="I110" s="28">
        <v>0.0</v>
      </c>
      <c r="J110" s="29">
        <v>0.0</v>
      </c>
      <c r="K110" s="29">
        <v>0.0</v>
      </c>
      <c r="L110" s="29">
        <v>0.0</v>
      </c>
      <c r="M110" s="29">
        <v>0.0</v>
      </c>
      <c r="N110" s="28">
        <v>0.0</v>
      </c>
      <c r="O110" s="29">
        <v>0.0</v>
      </c>
      <c r="P110" s="29">
        <v>0.0</v>
      </c>
      <c r="Q110" s="29">
        <v>0.0</v>
      </c>
      <c r="R110" s="29">
        <v>0.0</v>
      </c>
      <c r="S110" s="28">
        <v>0.0</v>
      </c>
      <c r="T110" s="29">
        <v>0.0</v>
      </c>
      <c r="U110" s="1"/>
      <c r="V110" s="16">
        <f t="shared" ref="V110:X110" si="231">IFERROR(B110/B$4, "")</f>
        <v>0</v>
      </c>
      <c r="W110" s="16">
        <f t="shared" si="231"/>
        <v>0</v>
      </c>
      <c r="X110" s="16">
        <f t="shared" si="231"/>
        <v>0</v>
      </c>
      <c r="Y110" s="16">
        <f t="shared" si="217"/>
        <v>0</v>
      </c>
      <c r="Z110" s="16">
        <f t="shared" si="218"/>
        <v>0</v>
      </c>
      <c r="AA110" s="16">
        <f t="shared" si="219"/>
        <v>0</v>
      </c>
      <c r="AB110" s="16"/>
      <c r="AC110" s="16" t="str">
        <f t="shared" ref="AC110:AD110" si="232">IFERROR((C110/B110)-1, "")</f>
        <v/>
      </c>
      <c r="AD110" s="16" t="str">
        <f t="shared" si="232"/>
        <v/>
      </c>
      <c r="AE110" s="16" t="str">
        <f t="shared" si="211"/>
        <v/>
      </c>
      <c r="AF110" s="16" t="str">
        <f t="shared" si="212"/>
        <v/>
      </c>
      <c r="AG110" s="16" t="str">
        <f t="shared" si="213"/>
        <v/>
      </c>
      <c r="AH110" s="16"/>
      <c r="AI110" s="22"/>
    </row>
    <row r="111" outlineLevel="1">
      <c r="A111" s="24" t="s">
        <v>102</v>
      </c>
      <c r="B111" s="28">
        <v>0.0</v>
      </c>
      <c r="C111" s="28">
        <v>17232.69846</v>
      </c>
      <c r="D111" s="28">
        <v>0.0</v>
      </c>
      <c r="E111" s="29">
        <v>0.0</v>
      </c>
      <c r="F111" s="29">
        <v>0.0</v>
      </c>
      <c r="G111" s="29">
        <v>0.0</v>
      </c>
      <c r="H111" s="29">
        <v>0.0</v>
      </c>
      <c r="I111" s="28">
        <v>0.0</v>
      </c>
      <c r="J111" s="29">
        <v>0.0</v>
      </c>
      <c r="K111" s="29">
        <v>0.0</v>
      </c>
      <c r="L111" s="29">
        <v>0.0</v>
      </c>
      <c r="M111" s="29">
        <v>0.0</v>
      </c>
      <c r="N111" s="28">
        <v>0.0</v>
      </c>
      <c r="O111" s="29">
        <v>0.0</v>
      </c>
      <c r="P111" s="29">
        <v>0.0</v>
      </c>
      <c r="Q111" s="29">
        <v>0.0</v>
      </c>
      <c r="R111" s="29">
        <v>0.0</v>
      </c>
      <c r="S111" s="28">
        <v>0.0</v>
      </c>
      <c r="T111" s="29">
        <v>0.0</v>
      </c>
      <c r="U111" s="1"/>
      <c r="V111" s="16">
        <f t="shared" ref="V111:X111" si="233">IFERROR(B111/B$4, "")</f>
        <v>0</v>
      </c>
      <c r="W111" s="16">
        <f t="shared" si="233"/>
        <v>0.001675008822</v>
      </c>
      <c r="X111" s="16">
        <f t="shared" si="233"/>
        <v>0</v>
      </c>
      <c r="Y111" s="16">
        <f t="shared" si="217"/>
        <v>0</v>
      </c>
      <c r="Z111" s="16">
        <f t="shared" si="218"/>
        <v>0</v>
      </c>
      <c r="AA111" s="16">
        <f t="shared" si="219"/>
        <v>0</v>
      </c>
      <c r="AB111" s="16"/>
      <c r="AC111" s="16" t="str">
        <f t="shared" ref="AC111:AD111" si="234">IFERROR((C111/B111)-1, "")</f>
        <v/>
      </c>
      <c r="AD111" s="16">
        <f t="shared" si="234"/>
        <v>-1</v>
      </c>
      <c r="AE111" s="16" t="str">
        <f t="shared" si="211"/>
        <v/>
      </c>
      <c r="AF111" s="16" t="str">
        <f t="shared" si="212"/>
        <v/>
      </c>
      <c r="AG111" s="16" t="str">
        <f t="shared" si="213"/>
        <v/>
      </c>
      <c r="AH111" s="16"/>
      <c r="AI111" s="22"/>
    </row>
    <row r="112" outlineLevel="1">
      <c r="A112" s="24" t="s">
        <v>103</v>
      </c>
      <c r="B112" s="28">
        <v>0.0</v>
      </c>
      <c r="C112" s="28">
        <v>12256.53317</v>
      </c>
      <c r="D112" s="28">
        <v>33850.330630000004</v>
      </c>
      <c r="E112" s="29">
        <v>4998.57483</v>
      </c>
      <c r="F112" s="29">
        <v>3153.05586</v>
      </c>
      <c r="G112" s="29">
        <v>1034.55641</v>
      </c>
      <c r="H112" s="29">
        <v>10332.00733</v>
      </c>
      <c r="I112" s="28">
        <v>19518.19443</v>
      </c>
      <c r="J112" s="29">
        <v>0.0</v>
      </c>
      <c r="K112" s="29">
        <v>0.0</v>
      </c>
      <c r="L112" s="29">
        <v>0.0</v>
      </c>
      <c r="M112" s="29">
        <v>0.0</v>
      </c>
      <c r="N112" s="28">
        <v>0.0</v>
      </c>
      <c r="O112" s="29">
        <v>0.0</v>
      </c>
      <c r="P112" s="29">
        <v>0.0</v>
      </c>
      <c r="Q112" s="29">
        <v>0.0</v>
      </c>
      <c r="R112" s="29">
        <v>0.0</v>
      </c>
      <c r="S112" s="28">
        <v>0.0</v>
      </c>
      <c r="T112" s="29">
        <v>0.0</v>
      </c>
      <c r="U112" s="1"/>
      <c r="V112" s="16">
        <f t="shared" ref="V112:X112" si="235">IFERROR(B112/B$4, "")</f>
        <v>0</v>
      </c>
      <c r="W112" s="16">
        <f t="shared" si="235"/>
        <v>0.00119132829</v>
      </c>
      <c r="X112" s="16">
        <f t="shared" si="235"/>
        <v>0.003347976984</v>
      </c>
      <c r="Y112" s="16">
        <f t="shared" si="217"/>
        <v>0.001967311827</v>
      </c>
      <c r="Z112" s="16">
        <f t="shared" si="218"/>
        <v>0</v>
      </c>
      <c r="AA112" s="16">
        <f t="shared" si="219"/>
        <v>0</v>
      </c>
      <c r="AB112" s="16"/>
      <c r="AC112" s="16" t="str">
        <f t="shared" ref="AC112:AD112" si="236">IFERROR((C112/B112)-1, "")</f>
        <v/>
      </c>
      <c r="AD112" s="16">
        <f t="shared" si="236"/>
        <v>1.761819363</v>
      </c>
      <c r="AE112" s="16">
        <f t="shared" si="211"/>
        <v>-0.4233972293</v>
      </c>
      <c r="AF112" s="16">
        <f t="shared" si="212"/>
        <v>-1</v>
      </c>
      <c r="AG112" s="16" t="str">
        <f t="shared" si="213"/>
        <v/>
      </c>
      <c r="AH112" s="16"/>
      <c r="AI112" s="22"/>
    </row>
    <row r="113" outlineLevel="1">
      <c r="A113" s="24" t="s">
        <v>99</v>
      </c>
      <c r="B113" s="28">
        <v>0.0</v>
      </c>
      <c r="C113" s="28">
        <v>0.0</v>
      </c>
      <c r="D113" s="28">
        <v>22508.0</v>
      </c>
      <c r="E113" s="29">
        <v>0.0</v>
      </c>
      <c r="F113" s="29">
        <v>0.0</v>
      </c>
      <c r="G113" s="29">
        <v>0.0</v>
      </c>
      <c r="H113" s="29">
        <v>0.0</v>
      </c>
      <c r="I113" s="28">
        <v>0.0</v>
      </c>
      <c r="J113" s="29">
        <v>0.0</v>
      </c>
      <c r="K113" s="29">
        <v>0.0</v>
      </c>
      <c r="L113" s="29">
        <v>0.0</v>
      </c>
      <c r="M113" s="29">
        <v>0.0</v>
      </c>
      <c r="N113" s="28">
        <v>0.0</v>
      </c>
      <c r="O113" s="29">
        <v>0.0</v>
      </c>
      <c r="P113" s="29">
        <v>0.0</v>
      </c>
      <c r="Q113" s="29">
        <v>0.0</v>
      </c>
      <c r="R113" s="29">
        <v>0.0</v>
      </c>
      <c r="S113" s="28">
        <v>0.0</v>
      </c>
      <c r="T113" s="29">
        <v>0.0</v>
      </c>
      <c r="U113" s="1"/>
      <c r="V113" s="16">
        <f t="shared" ref="V113:X113" si="237">IFERROR(B113/B$4, "")</f>
        <v>0</v>
      </c>
      <c r="W113" s="16">
        <f t="shared" si="237"/>
        <v>0</v>
      </c>
      <c r="X113" s="16">
        <f t="shared" si="237"/>
        <v>0.002226160411</v>
      </c>
      <c r="Y113" s="16">
        <f t="shared" si="217"/>
        <v>0</v>
      </c>
      <c r="Z113" s="16">
        <f t="shared" si="218"/>
        <v>0</v>
      </c>
      <c r="AA113" s="16">
        <f t="shared" si="219"/>
        <v>0</v>
      </c>
      <c r="AB113" s="16"/>
      <c r="AC113" s="16" t="str">
        <f t="shared" ref="AC113:AD113" si="238">IFERROR((C113/B113)-1, "")</f>
        <v/>
      </c>
      <c r="AD113" s="16" t="str">
        <f t="shared" si="238"/>
        <v/>
      </c>
      <c r="AE113" s="16">
        <f t="shared" si="211"/>
        <v>-1</v>
      </c>
      <c r="AF113" s="16" t="str">
        <f t="shared" si="212"/>
        <v/>
      </c>
      <c r="AG113" s="16" t="str">
        <f t="shared" si="213"/>
        <v/>
      </c>
      <c r="AH113" s="16"/>
      <c r="AI113" s="22"/>
    </row>
    <row r="114" outlineLevel="1">
      <c r="A114" s="24" t="s">
        <v>101</v>
      </c>
      <c r="B114" s="28">
        <v>0.0</v>
      </c>
      <c r="C114" s="28">
        <v>0.0</v>
      </c>
      <c r="D114" s="28">
        <v>4500.0</v>
      </c>
      <c r="E114" s="29">
        <v>0.0</v>
      </c>
      <c r="F114" s="29">
        <v>0.0</v>
      </c>
      <c r="G114" s="29">
        <v>0.0</v>
      </c>
      <c r="H114" s="29">
        <v>0.0</v>
      </c>
      <c r="I114" s="28">
        <v>0.0</v>
      </c>
      <c r="J114" s="29">
        <v>13220.00065</v>
      </c>
      <c r="K114" s="29">
        <v>-4409.76477</v>
      </c>
      <c r="L114" s="29">
        <v>1723.7369</v>
      </c>
      <c r="M114" s="29">
        <v>1184.0</v>
      </c>
      <c r="N114" s="28">
        <v>11717.97278</v>
      </c>
      <c r="O114" s="29">
        <v>3158.08</v>
      </c>
      <c r="P114" s="29">
        <v>1537.81455</v>
      </c>
      <c r="Q114" s="29">
        <v>2016.85491</v>
      </c>
      <c r="R114" s="29">
        <f>R95</f>
        <v>2773.41423</v>
      </c>
      <c r="S114" s="28">
        <v>9486.16369</v>
      </c>
      <c r="T114" s="29">
        <v>6782.4363104018</v>
      </c>
      <c r="U114" s="1"/>
      <c r="V114" s="16">
        <f t="shared" ref="V114:X114" si="239">IFERROR(B114/B$4, "")</f>
        <v>0</v>
      </c>
      <c r="W114" s="16">
        <f t="shared" si="239"/>
        <v>0</v>
      </c>
      <c r="X114" s="16">
        <f t="shared" si="239"/>
        <v>0.0004450738338</v>
      </c>
      <c r="Y114" s="16">
        <f t="shared" si="217"/>
        <v>0</v>
      </c>
      <c r="Z114" s="16">
        <f t="shared" si="218"/>
        <v>0.001108319603</v>
      </c>
      <c r="AA114" s="16">
        <f t="shared" si="219"/>
        <v>0.0008529537659</v>
      </c>
      <c r="AB114" s="16"/>
      <c r="AC114" s="16" t="str">
        <f t="shared" ref="AC114:AD114" si="240">IFERROR((C114/B114)-1, "")</f>
        <v/>
      </c>
      <c r="AD114" s="16" t="str">
        <f t="shared" si="240"/>
        <v/>
      </c>
      <c r="AE114" s="16">
        <f t="shared" si="211"/>
        <v>-1</v>
      </c>
      <c r="AF114" s="16" t="str">
        <f t="shared" si="212"/>
        <v/>
      </c>
      <c r="AG114" s="16">
        <f t="shared" si="213"/>
        <v>-0.1904603409</v>
      </c>
      <c r="AH114" s="16"/>
      <c r="AI114" s="22"/>
    </row>
    <row r="115" outlineLevel="1">
      <c r="A115" s="24" t="s">
        <v>125</v>
      </c>
      <c r="B115" s="28">
        <v>0.0</v>
      </c>
      <c r="C115" s="28">
        <v>0.0</v>
      </c>
      <c r="D115" s="28">
        <v>0.0</v>
      </c>
      <c r="E115" s="29">
        <v>0.0</v>
      </c>
      <c r="F115" s="29">
        <v>-14139.12146177</v>
      </c>
      <c r="G115" s="29">
        <v>-13025.110629245</v>
      </c>
      <c r="H115" s="29">
        <v>0.0</v>
      </c>
      <c r="I115" s="28">
        <v>-27164.232091015</v>
      </c>
      <c r="J115" s="29">
        <v>-13883.54432</v>
      </c>
      <c r="K115" s="29">
        <v>-43217.88472</v>
      </c>
      <c r="L115" s="29">
        <v>0.0</v>
      </c>
      <c r="M115" s="29">
        <v>-23449.80275</v>
      </c>
      <c r="N115" s="28">
        <v>-80551.23179</v>
      </c>
      <c r="O115" s="29">
        <v>0.0</v>
      </c>
      <c r="P115" s="29">
        <v>-103801.48357</v>
      </c>
      <c r="Q115" s="29">
        <v>-15690.8994799994</v>
      </c>
      <c r="R115" s="29">
        <v>0.0</v>
      </c>
      <c r="S115" s="28">
        <v>-119492.3830499994</v>
      </c>
      <c r="T115" s="29">
        <v>0.0</v>
      </c>
      <c r="U115" s="1"/>
      <c r="V115" s="16">
        <f t="shared" ref="V115:X115" si="241">IFERROR(B115/B$4, "")</f>
        <v>0</v>
      </c>
      <c r="W115" s="16">
        <f t="shared" si="241"/>
        <v>0</v>
      </c>
      <c r="X115" s="16">
        <f t="shared" si="241"/>
        <v>0</v>
      </c>
      <c r="Y115" s="16">
        <f t="shared" si="217"/>
        <v>-0.002737984564</v>
      </c>
      <c r="Z115" s="16">
        <f t="shared" si="218"/>
        <v>-0.007618767418</v>
      </c>
      <c r="AA115" s="16">
        <f t="shared" si="219"/>
        <v>-0.01074422511</v>
      </c>
      <c r="AB115" s="16"/>
      <c r="AC115" s="16" t="str">
        <f t="shared" ref="AC115:AD115" si="242">IFERROR((C115/B115)-1, "")</f>
        <v/>
      </c>
      <c r="AD115" s="16" t="str">
        <f t="shared" si="242"/>
        <v/>
      </c>
      <c r="AE115" s="16" t="str">
        <f t="shared" si="211"/>
        <v/>
      </c>
      <c r="AF115" s="16">
        <f t="shared" si="212"/>
        <v>1.96534176</v>
      </c>
      <c r="AG115" s="16">
        <f t="shared" si="213"/>
        <v>0.4834333429</v>
      </c>
      <c r="AH115" s="16"/>
      <c r="AI115" s="22"/>
    </row>
    <row r="116" outlineLevel="1">
      <c r="A116" s="24" t="s">
        <v>94</v>
      </c>
      <c r="B116" s="28">
        <v>0.0</v>
      </c>
      <c r="C116" s="28">
        <v>0.0</v>
      </c>
      <c r="D116" s="28">
        <v>0.0</v>
      </c>
      <c r="E116" s="29">
        <v>0.0</v>
      </c>
      <c r="F116" s="29">
        <v>0.0</v>
      </c>
      <c r="G116" s="29">
        <v>0.0</v>
      </c>
      <c r="H116" s="29">
        <v>0.0</v>
      </c>
      <c r="I116" s="28">
        <v>0.0</v>
      </c>
      <c r="J116" s="29">
        <v>0.0</v>
      </c>
      <c r="K116" s="29">
        <v>0.0</v>
      </c>
      <c r="L116" s="29">
        <v>0.0</v>
      </c>
      <c r="M116" s="29">
        <v>0.0</v>
      </c>
      <c r="N116" s="28">
        <v>0.0</v>
      </c>
      <c r="O116" s="29">
        <v>0.0</v>
      </c>
      <c r="P116" s="29">
        <v>0.0</v>
      </c>
      <c r="Q116" s="29">
        <v>0.0</v>
      </c>
      <c r="R116" s="29">
        <v>0.0</v>
      </c>
      <c r="S116" s="28">
        <v>0.0</v>
      </c>
      <c r="T116" s="29">
        <v>0.0</v>
      </c>
      <c r="U116" s="1"/>
      <c r="V116" s="16">
        <f t="shared" ref="V116:X116" si="243">IFERROR(B116/B$4, "")</f>
        <v>0</v>
      </c>
      <c r="W116" s="16">
        <f t="shared" si="243"/>
        <v>0</v>
      </c>
      <c r="X116" s="16">
        <f t="shared" si="243"/>
        <v>0</v>
      </c>
      <c r="Y116" s="16">
        <f t="shared" si="217"/>
        <v>0</v>
      </c>
      <c r="Z116" s="16">
        <f t="shared" si="218"/>
        <v>0</v>
      </c>
      <c r="AA116" s="16">
        <f t="shared" si="219"/>
        <v>0</v>
      </c>
      <c r="AB116" s="16"/>
      <c r="AC116" s="16" t="str">
        <f t="shared" ref="AC116:AD116" si="244">IFERROR((C116/B116)-1, "")</f>
        <v/>
      </c>
      <c r="AD116" s="16" t="str">
        <f t="shared" si="244"/>
        <v/>
      </c>
      <c r="AE116" s="16" t="str">
        <f t="shared" si="211"/>
        <v/>
      </c>
      <c r="AF116" s="16" t="str">
        <f t="shared" si="212"/>
        <v/>
      </c>
      <c r="AG116" s="16" t="str">
        <f t="shared" si="213"/>
        <v/>
      </c>
      <c r="AH116" s="16"/>
      <c r="AI116" s="22"/>
    </row>
    <row r="117" outlineLevel="1">
      <c r="A117" s="24" t="s">
        <v>126</v>
      </c>
      <c r="B117" s="28">
        <v>0.0</v>
      </c>
      <c r="C117" s="28">
        <v>0.0</v>
      </c>
      <c r="D117" s="28">
        <v>0.0</v>
      </c>
      <c r="E117" s="29">
        <v>0.0</v>
      </c>
      <c r="F117" s="29">
        <v>0.0</v>
      </c>
      <c r="G117" s="29">
        <v>0.0</v>
      </c>
      <c r="H117" s="29">
        <v>0.0</v>
      </c>
      <c r="I117" s="28">
        <v>0.0</v>
      </c>
      <c r="J117" s="29">
        <v>0.0</v>
      </c>
      <c r="K117" s="29">
        <v>0.0</v>
      </c>
      <c r="L117" s="29">
        <v>0.0</v>
      </c>
      <c r="M117" s="29">
        <v>0.0</v>
      </c>
      <c r="N117" s="28">
        <v>0.0</v>
      </c>
      <c r="O117" s="29">
        <v>0.0</v>
      </c>
      <c r="P117" s="29">
        <v>0.0</v>
      </c>
      <c r="Q117" s="29">
        <v>0.0</v>
      </c>
      <c r="R117" s="29">
        <v>0.0</v>
      </c>
      <c r="S117" s="28">
        <v>0.0</v>
      </c>
      <c r="T117" s="29">
        <v>0.0</v>
      </c>
      <c r="U117" s="1"/>
      <c r="V117" s="16">
        <f t="shared" ref="V117:X117" si="245">IFERROR(B117/B$4, "")</f>
        <v>0</v>
      </c>
      <c r="W117" s="16">
        <f t="shared" si="245"/>
        <v>0</v>
      </c>
      <c r="X117" s="16">
        <f t="shared" si="245"/>
        <v>0</v>
      </c>
      <c r="Y117" s="16">
        <f t="shared" si="217"/>
        <v>0</v>
      </c>
      <c r="Z117" s="16">
        <f t="shared" si="218"/>
        <v>0</v>
      </c>
      <c r="AA117" s="16">
        <f t="shared" si="219"/>
        <v>0</v>
      </c>
      <c r="AB117" s="16"/>
      <c r="AC117" s="16" t="str">
        <f t="shared" ref="AC117:AD117" si="246">IFERROR((C117/B117)-1, "")</f>
        <v/>
      </c>
      <c r="AD117" s="16" t="str">
        <f t="shared" si="246"/>
        <v/>
      </c>
      <c r="AE117" s="16" t="str">
        <f t="shared" si="211"/>
        <v/>
      </c>
      <c r="AF117" s="16" t="str">
        <f t="shared" si="212"/>
        <v/>
      </c>
      <c r="AG117" s="16" t="str">
        <f t="shared" si="213"/>
        <v/>
      </c>
      <c r="AH117" s="16"/>
      <c r="AI117" s="22"/>
    </row>
    <row r="118" outlineLevel="1">
      <c r="A118" s="24" t="s">
        <v>127</v>
      </c>
      <c r="B118" s="28">
        <v>0.0</v>
      </c>
      <c r="C118" s="28">
        <v>0.0</v>
      </c>
      <c r="D118" s="28">
        <v>0.0</v>
      </c>
      <c r="E118" s="29">
        <v>0.0</v>
      </c>
      <c r="F118" s="29">
        <v>0.0</v>
      </c>
      <c r="G118" s="29">
        <v>0.0</v>
      </c>
      <c r="H118" s="29">
        <v>0.0</v>
      </c>
      <c r="I118" s="28">
        <v>0.0</v>
      </c>
      <c r="J118" s="29">
        <v>0.0</v>
      </c>
      <c r="K118" s="29">
        <v>0.0</v>
      </c>
      <c r="L118" s="29">
        <v>0.0</v>
      </c>
      <c r="M118" s="29">
        <v>0.0</v>
      </c>
      <c r="N118" s="28">
        <v>0.0</v>
      </c>
      <c r="O118" s="29">
        <v>0.0</v>
      </c>
      <c r="P118" s="29">
        <v>0.0</v>
      </c>
      <c r="Q118" s="29">
        <v>0.0</v>
      </c>
      <c r="R118" s="29">
        <v>1043895.48156</v>
      </c>
      <c r="S118" s="28">
        <v>1043895.48156</v>
      </c>
      <c r="T118" s="29">
        <v>0.0</v>
      </c>
      <c r="U118" s="1"/>
      <c r="V118" s="16">
        <f t="shared" ref="V118:X118" si="247">IFERROR(B118/B$4, "")</f>
        <v>0</v>
      </c>
      <c r="W118" s="16">
        <f t="shared" si="247"/>
        <v>0</v>
      </c>
      <c r="X118" s="16">
        <f t="shared" si="247"/>
        <v>0</v>
      </c>
      <c r="Y118" s="16">
        <f t="shared" si="217"/>
        <v>0</v>
      </c>
      <c r="Z118" s="16">
        <f t="shared" si="218"/>
        <v>0</v>
      </c>
      <c r="AA118" s="16">
        <f t="shared" si="219"/>
        <v>0.09386245181</v>
      </c>
      <c r="AB118" s="16"/>
      <c r="AC118" s="16" t="str">
        <f t="shared" ref="AC118:AD118" si="248">IFERROR((C118/B118)-1, "")</f>
        <v/>
      </c>
      <c r="AD118" s="16" t="str">
        <f t="shared" si="248"/>
        <v/>
      </c>
      <c r="AE118" s="16" t="str">
        <f t="shared" si="211"/>
        <v/>
      </c>
      <c r="AF118" s="16" t="str">
        <f t="shared" si="212"/>
        <v/>
      </c>
      <c r="AG118" s="16" t="str">
        <f t="shared" si="213"/>
        <v/>
      </c>
      <c r="AH118" s="16"/>
      <c r="AI118" s="22"/>
    </row>
    <row r="119" outlineLevel="1">
      <c r="A119" s="24" t="s">
        <v>128</v>
      </c>
      <c r="B119" s="28">
        <v>0.0</v>
      </c>
      <c r="C119" s="28">
        <v>0.0</v>
      </c>
      <c r="D119" s="28">
        <v>0.0</v>
      </c>
      <c r="E119" s="29">
        <v>0.0</v>
      </c>
      <c r="F119" s="29">
        <v>0.0</v>
      </c>
      <c r="G119" s="29">
        <v>0.0</v>
      </c>
      <c r="H119" s="29">
        <v>0.0</v>
      </c>
      <c r="I119" s="28">
        <v>0.0</v>
      </c>
      <c r="J119" s="29">
        <v>0.0</v>
      </c>
      <c r="K119" s="29">
        <v>0.0</v>
      </c>
      <c r="L119" s="29">
        <v>0.0</v>
      </c>
      <c r="M119" s="29">
        <v>0.0</v>
      </c>
      <c r="N119" s="28">
        <v>0.0</v>
      </c>
      <c r="O119" s="29">
        <v>0.0</v>
      </c>
      <c r="P119" s="29">
        <v>0.0</v>
      </c>
      <c r="Q119" s="29">
        <v>0.0</v>
      </c>
      <c r="R119" s="29">
        <v>-510000.0</v>
      </c>
      <c r="S119" s="28">
        <v>-510000.0</v>
      </c>
      <c r="T119" s="29">
        <v>0.0</v>
      </c>
      <c r="U119" s="1"/>
      <c r="V119" s="16">
        <f t="shared" ref="V119:X119" si="249">IFERROR(B119/B$4, "")</f>
        <v>0</v>
      </c>
      <c r="W119" s="16">
        <f t="shared" si="249"/>
        <v>0</v>
      </c>
      <c r="X119" s="16">
        <f t="shared" si="249"/>
        <v>0</v>
      </c>
      <c r="Y119" s="16">
        <f t="shared" si="217"/>
        <v>0</v>
      </c>
      <c r="Z119" s="16">
        <f t="shared" si="218"/>
        <v>0</v>
      </c>
      <c r="AA119" s="16">
        <f t="shared" si="219"/>
        <v>-0.04585693804</v>
      </c>
      <c r="AB119" s="16"/>
      <c r="AC119" s="16" t="str">
        <f t="shared" ref="AC119:AD119" si="250">IFERROR((C119/B119)-1, "")</f>
        <v/>
      </c>
      <c r="AD119" s="16" t="str">
        <f t="shared" si="250"/>
        <v/>
      </c>
      <c r="AE119" s="16" t="str">
        <f t="shared" si="211"/>
        <v/>
      </c>
      <c r="AF119" s="16" t="str">
        <f t="shared" si="212"/>
        <v/>
      </c>
      <c r="AG119" s="16" t="str">
        <f t="shared" si="213"/>
        <v/>
      </c>
      <c r="AH119" s="16"/>
      <c r="AI119" s="22"/>
    </row>
    <row r="120">
      <c r="A120" s="18" t="s">
        <v>129</v>
      </c>
      <c r="B120" s="27">
        <v>4471357.929489256</v>
      </c>
      <c r="C120" s="27">
        <v>5087945.265657</v>
      </c>
      <c r="D120" s="27">
        <v>4766559.6445412</v>
      </c>
      <c r="E120" s="26">
        <v>1216308.1591144002</v>
      </c>
      <c r="F120" s="26">
        <v>1168322.3332286298</v>
      </c>
      <c r="G120" s="26">
        <v>1158969.0225680165</v>
      </c>
      <c r="H120" s="26">
        <v>1057660.879728</v>
      </c>
      <c r="I120" s="27">
        <v>4601260.394639046</v>
      </c>
      <c r="J120" s="26">
        <v>1130247.9097616</v>
      </c>
      <c r="K120" s="26">
        <v>1226622.1412384</v>
      </c>
      <c r="L120" s="26">
        <v>1226033.1525527998</v>
      </c>
      <c r="M120" s="26">
        <v>1201029.1039688</v>
      </c>
      <c r="N120" s="27">
        <v>4783932.3075216</v>
      </c>
      <c r="O120" s="26">
        <v>1128564.6734302</v>
      </c>
      <c r="P120" s="26">
        <v>1278568.493569</v>
      </c>
      <c r="Q120" s="26">
        <v>1257498.5930080004</v>
      </c>
      <c r="R120" s="26">
        <f>SUM(R101:R119)</f>
        <v>1464280.633</v>
      </c>
      <c r="S120" s="27">
        <v>5128912.393252401</v>
      </c>
      <c r="T120" s="26">
        <v>1502122.38450167</v>
      </c>
      <c r="U120" s="1"/>
      <c r="V120" s="16">
        <f t="shared" ref="V120:X120" si="251">IFERROR(B120/B$4, "")</f>
        <v>0.4793790688</v>
      </c>
      <c r="W120" s="16">
        <f t="shared" si="251"/>
        <v>0.4945454843</v>
      </c>
      <c r="X120" s="16">
        <f t="shared" si="251"/>
        <v>0.4714379944</v>
      </c>
      <c r="Y120" s="16">
        <f t="shared" si="217"/>
        <v>0.4637782468</v>
      </c>
      <c r="Z120" s="16">
        <f t="shared" si="218"/>
        <v>0.4524780911</v>
      </c>
      <c r="AA120" s="16">
        <f t="shared" si="219"/>
        <v>0.4611690546</v>
      </c>
      <c r="AB120" s="16"/>
      <c r="AC120" s="16">
        <f t="shared" ref="AC120:AD120" si="252">IFERROR((C120/B120)-1, "")</f>
        <v>0.13789711</v>
      </c>
      <c r="AD120" s="16">
        <f t="shared" si="252"/>
        <v>-0.06316609247</v>
      </c>
      <c r="AE120" s="16">
        <f t="shared" si="211"/>
        <v>-0.03467894293</v>
      </c>
      <c r="AF120" s="16">
        <f t="shared" si="212"/>
        <v>0.03970040754</v>
      </c>
      <c r="AG120" s="16">
        <f t="shared" si="213"/>
        <v>0.07211224231</v>
      </c>
      <c r="AH120" s="16"/>
      <c r="AI120" s="22"/>
    </row>
    <row r="121" outlineLevel="1">
      <c r="A121" s="24" t="s">
        <v>130</v>
      </c>
      <c r="B121" s="28">
        <v>0.0</v>
      </c>
      <c r="C121" s="28">
        <v>0.0</v>
      </c>
      <c r="D121" s="28">
        <v>0.0</v>
      </c>
      <c r="E121" s="29">
        <v>0.0</v>
      </c>
      <c r="F121" s="29">
        <v>0.0</v>
      </c>
      <c r="G121" s="29">
        <v>0.0</v>
      </c>
      <c r="H121" s="29">
        <v>0.0</v>
      </c>
      <c r="I121" s="28">
        <v>0.0</v>
      </c>
      <c r="J121" s="29">
        <v>0.0</v>
      </c>
      <c r="K121" s="29">
        <v>0.0</v>
      </c>
      <c r="L121" s="29">
        <v>0.0</v>
      </c>
      <c r="M121" s="29">
        <v>0.0</v>
      </c>
      <c r="N121" s="28">
        <v>0.0</v>
      </c>
      <c r="O121" s="29">
        <v>0.0</v>
      </c>
      <c r="P121" s="29">
        <v>0.0</v>
      </c>
      <c r="Q121" s="29">
        <v>0.0</v>
      </c>
      <c r="R121" s="29">
        <v>0.0</v>
      </c>
      <c r="S121" s="28">
        <v>0.0</v>
      </c>
      <c r="T121" s="29">
        <v>0.0</v>
      </c>
      <c r="U121" s="1"/>
      <c r="V121" s="16">
        <f t="shared" ref="V121:X121" si="253">IFERROR(B121/B$4, "")</f>
        <v>0</v>
      </c>
      <c r="W121" s="16">
        <f t="shared" si="253"/>
        <v>0</v>
      </c>
      <c r="X121" s="16">
        <f t="shared" si="253"/>
        <v>0</v>
      </c>
      <c r="Y121" s="16">
        <f t="shared" si="217"/>
        <v>0</v>
      </c>
      <c r="Z121" s="16">
        <f t="shared" si="218"/>
        <v>0</v>
      </c>
      <c r="AA121" s="16">
        <f t="shared" si="219"/>
        <v>0</v>
      </c>
      <c r="AB121" s="16"/>
      <c r="AC121" s="16" t="str">
        <f t="shared" ref="AC121:AD121" si="254">IFERROR((C121/B121)-1, "")</f>
        <v/>
      </c>
      <c r="AD121" s="16" t="str">
        <f t="shared" si="254"/>
        <v/>
      </c>
      <c r="AE121" s="16" t="str">
        <f t="shared" si="211"/>
        <v/>
      </c>
      <c r="AF121" s="16" t="str">
        <f t="shared" si="212"/>
        <v/>
      </c>
      <c r="AG121" s="16" t="str">
        <f t="shared" si="213"/>
        <v/>
      </c>
      <c r="AH121" s="16"/>
      <c r="AI121" s="22"/>
    </row>
    <row r="122" outlineLevel="1">
      <c r="A122" s="24" t="s">
        <v>131</v>
      </c>
      <c r="B122" s="28">
        <v>0.0</v>
      </c>
      <c r="C122" s="28">
        <v>0.0</v>
      </c>
      <c r="D122" s="28">
        <v>0.0</v>
      </c>
      <c r="E122" s="29">
        <v>0.0</v>
      </c>
      <c r="F122" s="29">
        <v>0.0</v>
      </c>
      <c r="G122" s="29">
        <v>0.0</v>
      </c>
      <c r="H122" s="29">
        <v>0.0</v>
      </c>
      <c r="I122" s="28">
        <v>0.0</v>
      </c>
      <c r="J122" s="29">
        <v>0.0</v>
      </c>
      <c r="K122" s="29">
        <v>0.0</v>
      </c>
      <c r="L122" s="29">
        <v>0.0</v>
      </c>
      <c r="M122" s="29">
        <v>0.0</v>
      </c>
      <c r="N122" s="28">
        <v>0.0</v>
      </c>
      <c r="O122" s="29">
        <v>0.0</v>
      </c>
      <c r="P122" s="29">
        <v>0.0</v>
      </c>
      <c r="Q122" s="29">
        <v>0.0</v>
      </c>
      <c r="R122" s="29">
        <v>0.0</v>
      </c>
      <c r="S122" s="28">
        <v>0.0</v>
      </c>
      <c r="T122" s="29">
        <v>0.0</v>
      </c>
      <c r="U122" s="1"/>
      <c r="V122" s="16">
        <f t="shared" ref="V122:X122" si="255">IFERROR(B122/B$4, "")</f>
        <v>0</v>
      </c>
      <c r="W122" s="16">
        <f t="shared" si="255"/>
        <v>0</v>
      </c>
      <c r="X122" s="16">
        <f t="shared" si="255"/>
        <v>0</v>
      </c>
      <c r="Y122" s="16">
        <f t="shared" si="217"/>
        <v>0</v>
      </c>
      <c r="Z122" s="16">
        <f t="shared" si="218"/>
        <v>0</v>
      </c>
      <c r="AA122" s="16">
        <f t="shared" si="219"/>
        <v>0</v>
      </c>
      <c r="AB122" s="16"/>
      <c r="AC122" s="16" t="str">
        <f t="shared" ref="AC122:AD122" si="256">IFERROR((C122/B122)-1, "")</f>
        <v/>
      </c>
      <c r="AD122" s="16" t="str">
        <f t="shared" si="256"/>
        <v/>
      </c>
      <c r="AE122" s="16" t="str">
        <f t="shared" si="211"/>
        <v/>
      </c>
      <c r="AF122" s="16" t="str">
        <f t="shared" si="212"/>
        <v/>
      </c>
      <c r="AG122" s="16" t="str">
        <f t="shared" si="213"/>
        <v/>
      </c>
      <c r="AH122" s="16"/>
      <c r="AI122" s="22"/>
    </row>
    <row r="123" outlineLevel="1">
      <c r="A123" s="24" t="s">
        <v>132</v>
      </c>
      <c r="B123" s="28">
        <v>478510.845567621</v>
      </c>
      <c r="C123" s="28">
        <v>478510.84556762024</v>
      </c>
      <c r="D123" s="28">
        <v>239255.42278381</v>
      </c>
      <c r="E123" s="29">
        <v>0.0</v>
      </c>
      <c r="F123" s="29">
        <v>0.0</v>
      </c>
      <c r="G123" s="29">
        <v>0.0</v>
      </c>
      <c r="H123" s="29">
        <v>0.0</v>
      </c>
      <c r="I123" s="28">
        <v>0.0</v>
      </c>
      <c r="J123" s="29">
        <v>0.0</v>
      </c>
      <c r="K123" s="29">
        <v>0.0</v>
      </c>
      <c r="L123" s="29">
        <v>0.0</v>
      </c>
      <c r="M123" s="29">
        <v>0.0</v>
      </c>
      <c r="N123" s="28">
        <v>0.0</v>
      </c>
      <c r="O123" s="29">
        <v>0.0</v>
      </c>
      <c r="P123" s="29">
        <v>0.0</v>
      </c>
      <c r="Q123" s="29">
        <v>0.0</v>
      </c>
      <c r="R123" s="29">
        <v>0.0</v>
      </c>
      <c r="S123" s="28">
        <v>0.0</v>
      </c>
      <c r="T123" s="29">
        <v>0.0</v>
      </c>
      <c r="U123" s="1"/>
      <c r="V123" s="16">
        <f t="shared" ref="V123:X123" si="257">IFERROR(B123/B$4, "")</f>
        <v>0.05130165985</v>
      </c>
      <c r="W123" s="16">
        <f t="shared" si="257"/>
        <v>0.04651099127</v>
      </c>
      <c r="X123" s="16">
        <f t="shared" si="257"/>
        <v>0.02366362851</v>
      </c>
      <c r="Y123" s="16">
        <f t="shared" si="217"/>
        <v>0</v>
      </c>
      <c r="Z123" s="16">
        <f t="shared" si="218"/>
        <v>0</v>
      </c>
      <c r="AA123" s="16">
        <f t="shared" si="219"/>
        <v>0</v>
      </c>
      <c r="AB123" s="16"/>
      <c r="AC123" s="16">
        <f t="shared" ref="AC123:AD123" si="258">IFERROR((C123/B123)-1, "")</f>
        <v>0</v>
      </c>
      <c r="AD123" s="16">
        <f t="shared" si="258"/>
        <v>-0.5</v>
      </c>
      <c r="AE123" s="16">
        <f t="shared" si="211"/>
        <v>-1</v>
      </c>
      <c r="AF123" s="16" t="str">
        <f t="shared" si="212"/>
        <v/>
      </c>
      <c r="AG123" s="16" t="str">
        <f t="shared" si="213"/>
        <v/>
      </c>
      <c r="AH123" s="16"/>
      <c r="AI123" s="22"/>
    </row>
    <row r="124" outlineLevel="1">
      <c r="A124" s="24" t="s">
        <v>133</v>
      </c>
      <c r="B124" s="28">
        <v>0.0</v>
      </c>
      <c r="C124" s="28">
        <v>0.0</v>
      </c>
      <c r="D124" s="28">
        <v>0.0</v>
      </c>
      <c r="E124" s="29">
        <v>0.0</v>
      </c>
      <c r="F124" s="29">
        <v>0.0</v>
      </c>
      <c r="G124" s="29">
        <v>0.0</v>
      </c>
      <c r="H124" s="29">
        <v>0.0</v>
      </c>
      <c r="I124" s="28">
        <v>0.0</v>
      </c>
      <c r="J124" s="29">
        <v>0.0</v>
      </c>
      <c r="K124" s="29">
        <v>0.0</v>
      </c>
      <c r="L124" s="29">
        <v>0.0</v>
      </c>
      <c r="M124" s="29">
        <v>0.0</v>
      </c>
      <c r="N124" s="28">
        <v>0.0</v>
      </c>
      <c r="O124" s="29">
        <v>0.0</v>
      </c>
      <c r="P124" s="29">
        <v>40662.4867593434</v>
      </c>
      <c r="Q124" s="29">
        <v>40662.4867593434</v>
      </c>
      <c r="R124" s="29">
        <v>40662.4867593434</v>
      </c>
      <c r="S124" s="28">
        <v>121987.46027803021</v>
      </c>
      <c r="T124" s="29">
        <v>40662.4867593434</v>
      </c>
      <c r="U124" s="1"/>
      <c r="V124" s="16">
        <f t="shared" ref="V124:X124" si="259">IFERROR(B124/B$4, "")</f>
        <v>0</v>
      </c>
      <c r="W124" s="16">
        <f t="shared" si="259"/>
        <v>0</v>
      </c>
      <c r="X124" s="16">
        <f t="shared" si="259"/>
        <v>0</v>
      </c>
      <c r="Y124" s="16">
        <f t="shared" si="217"/>
        <v>0</v>
      </c>
      <c r="Z124" s="16">
        <f t="shared" si="218"/>
        <v>0</v>
      </c>
      <c r="AA124" s="16">
        <f t="shared" si="219"/>
        <v>0.01096857139</v>
      </c>
      <c r="AB124" s="16"/>
      <c r="AC124" s="16" t="str">
        <f t="shared" ref="AC124:AD124" si="260">IFERROR((C124/B124)-1, "")</f>
        <v/>
      </c>
      <c r="AD124" s="16" t="str">
        <f t="shared" si="260"/>
        <v/>
      </c>
      <c r="AE124" s="16" t="str">
        <f t="shared" si="211"/>
        <v/>
      </c>
      <c r="AF124" s="16" t="str">
        <f t="shared" si="212"/>
        <v/>
      </c>
      <c r="AG124" s="16" t="str">
        <f t="shared" si="213"/>
        <v/>
      </c>
      <c r="AH124" s="16"/>
      <c r="AI124" s="22"/>
    </row>
    <row r="125">
      <c r="A125" s="18" t="s">
        <v>134</v>
      </c>
      <c r="B125" s="27">
        <v>4949870.050243223</v>
      </c>
      <c r="C125" s="27">
        <v>5566456.11122464</v>
      </c>
      <c r="D125" s="27">
        <v>5005815.06732501</v>
      </c>
      <c r="E125" s="26">
        <v>1216308.1591144002</v>
      </c>
      <c r="F125" s="26">
        <v>1168322.3332286298</v>
      </c>
      <c r="G125" s="26">
        <v>1158969.0225680165</v>
      </c>
      <c r="H125" s="26">
        <v>1057660.879728</v>
      </c>
      <c r="I125" s="27">
        <v>4601260.394639046</v>
      </c>
      <c r="J125" s="26">
        <v>1130247.9097616</v>
      </c>
      <c r="K125" s="26">
        <v>1226622.1412384</v>
      </c>
      <c r="L125" s="26">
        <v>1226033.1525527998</v>
      </c>
      <c r="M125" s="26">
        <v>1201029.1039688</v>
      </c>
      <c r="N125" s="27">
        <v>4783932.3075216</v>
      </c>
      <c r="O125" s="26">
        <v>1128564.6734302</v>
      </c>
      <c r="P125" s="26">
        <v>1319230.9803283433</v>
      </c>
      <c r="Q125" s="26">
        <v>1298161.0797673438</v>
      </c>
      <c r="R125" s="26">
        <f>R120+R124</f>
        <v>1504943.12</v>
      </c>
      <c r="S125" s="27">
        <v>5250899.85353043</v>
      </c>
      <c r="T125" s="26">
        <v>1542784.87126101</v>
      </c>
      <c r="U125" s="1"/>
      <c r="V125" s="16">
        <f t="shared" ref="V125:X125" si="261">IFERROR(B125/B$4, "")</f>
        <v>0.5306808654</v>
      </c>
      <c r="W125" s="16">
        <f t="shared" si="261"/>
        <v>0.5410564755</v>
      </c>
      <c r="X125" s="16">
        <f t="shared" si="261"/>
        <v>0.4951016229</v>
      </c>
      <c r="Y125" s="16">
        <f t="shared" si="217"/>
        <v>0.4637782468</v>
      </c>
      <c r="Z125" s="16">
        <f t="shared" si="218"/>
        <v>0.4524780911</v>
      </c>
      <c r="AA125" s="16">
        <f t="shared" si="219"/>
        <v>0.472137626</v>
      </c>
      <c r="AB125" s="16"/>
      <c r="AC125" s="16">
        <f t="shared" ref="AC125:AD125" si="262">IFERROR((C125/B125)-1, "")</f>
        <v>0.1245661108</v>
      </c>
      <c r="AD125" s="16">
        <f t="shared" si="262"/>
        <v>-0.1007177696</v>
      </c>
      <c r="AE125" s="16">
        <f t="shared" si="211"/>
        <v>-0.08081694334</v>
      </c>
      <c r="AF125" s="16">
        <f t="shared" si="212"/>
        <v>0.03970040754</v>
      </c>
      <c r="AG125" s="16">
        <f t="shared" si="213"/>
        <v>0.09761165418</v>
      </c>
      <c r="AH125" s="16"/>
      <c r="AI125" s="22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22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22"/>
    </row>
    <row r="128">
      <c r="A128" s="39" t="s">
        <v>135</v>
      </c>
      <c r="B128" s="3">
        <v>2020.0</v>
      </c>
      <c r="C128" s="3">
        <v>2021.0</v>
      </c>
      <c r="D128" s="3">
        <v>2022.0</v>
      </c>
      <c r="E128" s="4" t="s">
        <v>1</v>
      </c>
      <c r="F128" s="4" t="s">
        <v>2</v>
      </c>
      <c r="G128" s="4" t="s">
        <v>3</v>
      </c>
      <c r="H128" s="4" t="s">
        <v>4</v>
      </c>
      <c r="I128" s="4">
        <v>2023.0</v>
      </c>
      <c r="J128" s="4" t="s">
        <v>5</v>
      </c>
      <c r="K128" s="4" t="s">
        <v>6</v>
      </c>
      <c r="L128" s="4" t="s">
        <v>7</v>
      </c>
      <c r="M128" s="4" t="s">
        <v>8</v>
      </c>
      <c r="N128" s="4">
        <v>2024.0</v>
      </c>
      <c r="O128" s="4" t="s">
        <v>9</v>
      </c>
      <c r="P128" s="4" t="s">
        <v>10</v>
      </c>
      <c r="Q128" s="4" t="s">
        <v>11</v>
      </c>
      <c r="R128" s="4" t="s">
        <v>12</v>
      </c>
      <c r="S128" s="4">
        <v>2025.0</v>
      </c>
      <c r="T128" s="4" t="s">
        <v>13</v>
      </c>
      <c r="U128" s="1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22"/>
    </row>
    <row r="129">
      <c r="A129" s="10"/>
      <c r="B129" s="3">
        <v>2020.0</v>
      </c>
      <c r="C129" s="3">
        <v>2021.0</v>
      </c>
      <c r="D129" s="3">
        <v>2022.0</v>
      </c>
      <c r="E129" s="4" t="s">
        <v>16</v>
      </c>
      <c r="F129" s="4" t="s">
        <v>17</v>
      </c>
      <c r="G129" s="4" t="s">
        <v>18</v>
      </c>
      <c r="H129" s="4" t="s">
        <v>19</v>
      </c>
      <c r="I129" s="4">
        <v>2023.0</v>
      </c>
      <c r="J129" s="4" t="s">
        <v>20</v>
      </c>
      <c r="K129" s="4" t="s">
        <v>21</v>
      </c>
      <c r="L129" s="4" t="s">
        <v>22</v>
      </c>
      <c r="M129" s="4" t="s">
        <v>23</v>
      </c>
      <c r="N129" s="4">
        <v>2024.0</v>
      </c>
      <c r="O129" s="4" t="s">
        <v>24</v>
      </c>
      <c r="P129" s="4" t="s">
        <v>25</v>
      </c>
      <c r="Q129" s="4" t="s">
        <v>26</v>
      </c>
      <c r="R129" s="4" t="s">
        <v>27</v>
      </c>
      <c r="S129" s="4">
        <v>2025.0</v>
      </c>
      <c r="T129" s="4" t="s">
        <v>28</v>
      </c>
      <c r="U129" s="1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22"/>
    </row>
    <row r="130">
      <c r="A130" s="1" t="s">
        <v>75</v>
      </c>
      <c r="B130" s="28">
        <v>-86559.0</v>
      </c>
      <c r="C130" s="28">
        <v>195347.0</v>
      </c>
      <c r="D130" s="28">
        <v>212277.0</v>
      </c>
      <c r="E130" s="29">
        <v>142145.0</v>
      </c>
      <c r="F130" s="29">
        <v>102750.0</v>
      </c>
      <c r="G130" s="29">
        <v>39116.0</v>
      </c>
      <c r="H130" s="29">
        <v>24538.0</v>
      </c>
      <c r="I130" s="28">
        <v>308549.0</v>
      </c>
      <c r="J130" s="29">
        <v>45374.0</v>
      </c>
      <c r="K130" s="29">
        <v>-38761.0</v>
      </c>
      <c r="L130" s="29">
        <v>73561.0</v>
      </c>
      <c r="M130" s="29">
        <v>-2085.0</v>
      </c>
      <c r="N130" s="28">
        <v>78089.0</v>
      </c>
      <c r="O130" s="29">
        <v>15617.0</v>
      </c>
      <c r="P130" s="29">
        <v>135726.0</v>
      </c>
      <c r="Q130" s="29">
        <v>61359.0</v>
      </c>
      <c r="R130" s="29">
        <v>95162.0</v>
      </c>
      <c r="S130" s="28">
        <v>307864.0</v>
      </c>
      <c r="T130" s="29">
        <v>112013.0</v>
      </c>
      <c r="U130" s="1"/>
      <c r="V130" s="16">
        <f t="shared" ref="V130:X130" si="263">IFERROR(B130/B$4, "")</f>
        <v>-0.009280083024</v>
      </c>
      <c r="W130" s="16">
        <f t="shared" si="263"/>
        <v>0.01898762107</v>
      </c>
      <c r="X130" s="16">
        <f t="shared" si="263"/>
        <v>0.0209953196</v>
      </c>
      <c r="Y130" s="16">
        <f t="shared" ref="Y130:Y132" si="266">IFERROR(I130/I$4, "")</f>
        <v>0.03109980788</v>
      </c>
      <c r="Z130" s="16">
        <f t="shared" ref="Z130:Z132" si="267">IFERROR(N130/N$4, "")</f>
        <v>0.007385882446</v>
      </c>
      <c r="AA130" s="16">
        <f t="shared" ref="AA130:AA132" si="268">IFERROR(S130/S$4, "")</f>
        <v>0.02768176544</v>
      </c>
      <c r="AB130" s="16"/>
      <c r="AC130" s="16">
        <f t="shared" ref="AC130:AD130" si="264">IFERROR((C130/B130)-1, "")</f>
        <v>-3.256807495</v>
      </c>
      <c r="AD130" s="16">
        <f t="shared" si="264"/>
        <v>0.08666629127</v>
      </c>
      <c r="AE130" s="16">
        <f t="shared" ref="AE130:AE140" si="270">IFERROR((I130/D130)-1, "")</f>
        <v>0.4535206358</v>
      </c>
      <c r="AF130" s="16">
        <f t="shared" ref="AF130:AF140" si="271">IFERROR((N130/I130)-1, "")</f>
        <v>-0.7469154008</v>
      </c>
      <c r="AG130" s="16">
        <f t="shared" ref="AG130:AG140" si="272">IFERROR((S130/N130)-1, "")</f>
        <v>2.942475893</v>
      </c>
      <c r="AH130" s="16"/>
      <c r="AI130" s="22"/>
    </row>
    <row r="131">
      <c r="A131" s="1" t="s">
        <v>136</v>
      </c>
      <c r="B131" s="28">
        <v>182807.85080113198</v>
      </c>
      <c r="C131" s="28">
        <v>61238.98284546239</v>
      </c>
      <c r="D131" s="28">
        <v>-57888.230792232804</v>
      </c>
      <c r="E131" s="29">
        <v>-21907.5360743482</v>
      </c>
      <c r="F131" s="29">
        <v>-41676.9732164585</v>
      </c>
      <c r="G131" s="29">
        <v>19268.256348778</v>
      </c>
      <c r="H131" s="29">
        <v>-15690.7755778034</v>
      </c>
      <c r="I131" s="28">
        <v>-60007.02851983211</v>
      </c>
      <c r="J131" s="29">
        <v>-15707.6685724826</v>
      </c>
      <c r="K131" s="29">
        <v>53642.04279181181</v>
      </c>
      <c r="L131" s="29">
        <v>-10918.6522435362</v>
      </c>
      <c r="M131" s="29">
        <v>85523.464</v>
      </c>
      <c r="N131" s="28">
        <v>112539.18597579302</v>
      </c>
      <c r="O131" s="29">
        <v>-51725.492000000006</v>
      </c>
      <c r="P131" s="29">
        <v>-32763.692</v>
      </c>
      <c r="Q131" s="29">
        <v>-15916.42</v>
      </c>
      <c r="R131" s="29">
        <v>25353.15043</v>
      </c>
      <c r="S131" s="28">
        <v>-75052.45357000001</v>
      </c>
      <c r="T131" s="29">
        <v>-41716.301056</v>
      </c>
      <c r="U131" s="1"/>
      <c r="V131" s="16">
        <f t="shared" ref="V131:X131" si="265">IFERROR(B131/B$4, "")</f>
        <v>0.01959902532</v>
      </c>
      <c r="W131" s="16">
        <f t="shared" si="265"/>
        <v>0.005952395485</v>
      </c>
      <c r="X131" s="16">
        <f t="shared" si="265"/>
        <v>-0.005725452624</v>
      </c>
      <c r="Y131" s="16">
        <f t="shared" si="266"/>
        <v>-0.006048332868</v>
      </c>
      <c r="Z131" s="16">
        <f t="shared" si="267"/>
        <v>0.01064428022</v>
      </c>
      <c r="AA131" s="16">
        <f t="shared" si="268"/>
        <v>-0.006748383752</v>
      </c>
      <c r="AB131" s="16"/>
      <c r="AC131" s="16">
        <f t="shared" ref="AC131:AD131" si="269">IFERROR((C131/B131)-1, "")</f>
        <v>-0.6650090104</v>
      </c>
      <c r="AD131" s="16">
        <f t="shared" si="269"/>
        <v>-1.945284002</v>
      </c>
      <c r="AE131" s="16">
        <f t="shared" si="270"/>
        <v>0.03660152847</v>
      </c>
      <c r="AF131" s="16">
        <f t="shared" si="271"/>
        <v>-2.875433408</v>
      </c>
      <c r="AG131" s="16">
        <f t="shared" si="272"/>
        <v>-1.666900626</v>
      </c>
      <c r="AH131" s="16"/>
      <c r="AI131" s="22"/>
    </row>
    <row r="132">
      <c r="A132" s="18" t="s">
        <v>137</v>
      </c>
      <c r="B132" s="27">
        <v>96248.85080113198</v>
      </c>
      <c r="C132" s="27">
        <v>256585.98284546268</v>
      </c>
      <c r="D132" s="27">
        <v>154388.76920776741</v>
      </c>
      <c r="E132" s="26">
        <v>120237.463925652</v>
      </c>
      <c r="F132" s="26">
        <v>61073.0267835415</v>
      </c>
      <c r="G132" s="26">
        <v>58384.256348778</v>
      </c>
      <c r="H132" s="26">
        <v>8847.2244221966</v>
      </c>
      <c r="I132" s="27">
        <v>248541.9714801681</v>
      </c>
      <c r="J132" s="26">
        <v>29666.3314275174</v>
      </c>
      <c r="K132" s="26">
        <v>14881.042791811808</v>
      </c>
      <c r="L132" s="26">
        <v>62642.34775646381</v>
      </c>
      <c r="M132" s="26">
        <v>83438.464</v>
      </c>
      <c r="N132" s="27">
        <v>190628.18597579302</v>
      </c>
      <c r="O132" s="26">
        <v>-36108.492</v>
      </c>
      <c r="P132" s="26">
        <v>102962.30799999999</v>
      </c>
      <c r="Q132" s="26">
        <v>45442.58</v>
      </c>
      <c r="R132" s="26">
        <v>120515.15043</v>
      </c>
      <c r="S132" s="27">
        <v>232811.54643</v>
      </c>
      <c r="T132" s="26">
        <v>70296.698944</v>
      </c>
      <c r="U132" s="1"/>
      <c r="V132" s="16">
        <f t="shared" ref="V132:X132" si="273">IFERROR(B132/B$4, "")</f>
        <v>0.0103189423</v>
      </c>
      <c r="W132" s="16">
        <f t="shared" si="273"/>
        <v>0.02494001655</v>
      </c>
      <c r="X132" s="16">
        <f t="shared" si="273"/>
        <v>0.01526986698</v>
      </c>
      <c r="Y132" s="16">
        <f t="shared" si="266"/>
        <v>0.02505147501</v>
      </c>
      <c r="Z132" s="16">
        <f t="shared" si="267"/>
        <v>0.01803016267</v>
      </c>
      <c r="AA132" s="16">
        <f t="shared" si="268"/>
        <v>0.02093338169</v>
      </c>
      <c r="AB132" s="16"/>
      <c r="AC132" s="16">
        <f t="shared" ref="AC132:AD132" si="274">IFERROR((C132/B132)-1, "")</f>
        <v>1.665860223</v>
      </c>
      <c r="AD132" s="16">
        <f t="shared" si="274"/>
        <v>-0.3982961676</v>
      </c>
      <c r="AE132" s="16">
        <f t="shared" si="270"/>
        <v>0.6098448919</v>
      </c>
      <c r="AF132" s="16">
        <f t="shared" si="271"/>
        <v>-0.2330141069</v>
      </c>
      <c r="AG132" s="16">
        <f t="shared" si="272"/>
        <v>0.2212860613</v>
      </c>
      <c r="AH132" s="16"/>
      <c r="AI132" s="22"/>
    </row>
    <row r="133">
      <c r="A133" s="1"/>
      <c r="B133" s="27"/>
      <c r="C133" s="27"/>
      <c r="D133" s="27"/>
      <c r="E133" s="26"/>
      <c r="F133" s="26"/>
      <c r="G133" s="26"/>
      <c r="H133" s="26"/>
      <c r="I133" s="27"/>
      <c r="J133" s="26"/>
      <c r="K133" s="26"/>
      <c r="L133" s="1"/>
      <c r="M133" s="1"/>
      <c r="N133" s="27"/>
      <c r="O133" s="1"/>
      <c r="P133" s="1"/>
      <c r="Q133" s="1"/>
      <c r="R133" s="1"/>
      <c r="S133" s="27"/>
      <c r="T133" s="1"/>
      <c r="U133" s="1"/>
      <c r="V133" s="16"/>
      <c r="W133" s="16"/>
      <c r="X133" s="16"/>
      <c r="Y133" s="16"/>
      <c r="Z133" s="16"/>
      <c r="AA133" s="16"/>
      <c r="AB133" s="16"/>
      <c r="AC133" s="16" t="str">
        <f t="shared" ref="AC133:AD133" si="275">IFERROR((C133/B133)-1, "")</f>
        <v/>
      </c>
      <c r="AD133" s="16" t="str">
        <f t="shared" si="275"/>
        <v/>
      </c>
      <c r="AE133" s="16" t="str">
        <f t="shared" si="270"/>
        <v/>
      </c>
      <c r="AF133" s="16" t="str">
        <f t="shared" si="271"/>
        <v/>
      </c>
      <c r="AG133" s="16" t="str">
        <f t="shared" si="272"/>
        <v/>
      </c>
      <c r="AH133" s="16"/>
      <c r="AI133" s="22"/>
    </row>
    <row r="134">
      <c r="A134" s="1" t="s">
        <v>80</v>
      </c>
      <c r="B134" s="28">
        <v>5515850.0</v>
      </c>
      <c r="C134" s="28">
        <v>6516331.0</v>
      </c>
      <c r="D134" s="28">
        <v>5790151.0</v>
      </c>
      <c r="E134" s="29">
        <v>1499120.02221</v>
      </c>
      <c r="F134" s="29">
        <v>1477065.0</v>
      </c>
      <c r="G134" s="29">
        <v>1386322.0</v>
      </c>
      <c r="H134" s="29">
        <v>1195665.0</v>
      </c>
      <c r="I134" s="28">
        <v>5558172.02221</v>
      </c>
      <c r="J134" s="29">
        <v>1269030.0</v>
      </c>
      <c r="K134" s="29">
        <v>1689408.0</v>
      </c>
      <c r="L134" s="29">
        <v>1677776.0</v>
      </c>
      <c r="M134" s="29">
        <v>1487778.0</v>
      </c>
      <c r="N134" s="28">
        <v>6123992.0</v>
      </c>
      <c r="O134" s="29">
        <v>1574844.0</v>
      </c>
      <c r="P134" s="29">
        <v>1834334.0</v>
      </c>
      <c r="Q134" s="29">
        <v>1707414.0</v>
      </c>
      <c r="R134" s="29">
        <v>1829309.0</v>
      </c>
      <c r="S134" s="28">
        <v>6945901.0</v>
      </c>
      <c r="T134" s="29">
        <v>2064016.0</v>
      </c>
      <c r="U134" s="1"/>
      <c r="V134" s="16">
        <f t="shared" ref="V134:X134" si="276">IFERROR(B134/B$4, "")</f>
        <v>0.5913601815</v>
      </c>
      <c r="W134" s="16">
        <f t="shared" si="276"/>
        <v>0.6333837928</v>
      </c>
      <c r="X134" s="16">
        <f t="shared" si="276"/>
        <v>0.5726766008</v>
      </c>
      <c r="Y134" s="16">
        <f t="shared" ref="Y134:Y136" si="279">IFERROR(I134/I$4, "")</f>
        <v>0.5602289492</v>
      </c>
      <c r="Z134" s="16">
        <f t="shared" ref="Z134:Z136" si="280">IFERROR(N134/N$4, "")</f>
        <v>0.5792247949</v>
      </c>
      <c r="AA134" s="16">
        <f t="shared" ref="AA134:AA136" si="281">IFERROR(S134/S$4, "")</f>
        <v>0.6245446114</v>
      </c>
      <c r="AB134" s="16"/>
      <c r="AC134" s="16">
        <f t="shared" ref="AC134:AD134" si="277">IFERROR((C134/B134)-1, "")</f>
        <v>0.1813829238</v>
      </c>
      <c r="AD134" s="16">
        <f t="shared" si="277"/>
        <v>-0.1114400113</v>
      </c>
      <c r="AE134" s="16">
        <f t="shared" si="270"/>
        <v>-0.04006440899</v>
      </c>
      <c r="AF134" s="16">
        <f t="shared" si="271"/>
        <v>0.101799652</v>
      </c>
      <c r="AG134" s="16">
        <f t="shared" si="272"/>
        <v>0.1342113118</v>
      </c>
      <c r="AH134" s="16"/>
      <c r="AI134" s="22"/>
    </row>
    <row r="135">
      <c r="A135" s="1" t="s">
        <v>136</v>
      </c>
      <c r="B135" s="28">
        <v>182807.85080113198</v>
      </c>
      <c r="C135" s="28">
        <v>61238.98284546239</v>
      </c>
      <c r="D135" s="28">
        <v>-57888.230792232804</v>
      </c>
      <c r="E135" s="29">
        <v>-21907.5360743482</v>
      </c>
      <c r="F135" s="29">
        <v>-41676.9732164585</v>
      </c>
      <c r="G135" s="29">
        <v>19268.256348778</v>
      </c>
      <c r="H135" s="29">
        <v>-15690.7755778034</v>
      </c>
      <c r="I135" s="28">
        <v>-60007.02851983211</v>
      </c>
      <c r="J135" s="29">
        <v>-15707.6685724826</v>
      </c>
      <c r="K135" s="29">
        <v>53642.04279181181</v>
      </c>
      <c r="L135" s="29">
        <v>-10918.6522435362</v>
      </c>
      <c r="M135" s="29">
        <v>85523.464</v>
      </c>
      <c r="N135" s="28">
        <v>112539.18597579302</v>
      </c>
      <c r="O135" s="29">
        <v>-51725.492000000006</v>
      </c>
      <c r="P135" s="29">
        <v>-32763.692</v>
      </c>
      <c r="Q135" s="29">
        <v>-15916.42</v>
      </c>
      <c r="R135" s="29">
        <v>25353.15043</v>
      </c>
      <c r="S135" s="28">
        <v>-75052.45357000001</v>
      </c>
      <c r="T135" s="29">
        <v>-41716.301056</v>
      </c>
      <c r="U135" s="1"/>
      <c r="V135" s="16">
        <f t="shared" ref="V135:X135" si="278">IFERROR(B135/B$4, "")</f>
        <v>0.01959902532</v>
      </c>
      <c r="W135" s="16">
        <f t="shared" si="278"/>
        <v>0.005952395485</v>
      </c>
      <c r="X135" s="16">
        <f t="shared" si="278"/>
        <v>-0.005725452624</v>
      </c>
      <c r="Y135" s="16">
        <f t="shared" si="279"/>
        <v>-0.006048332868</v>
      </c>
      <c r="Z135" s="16">
        <f t="shared" si="280"/>
        <v>0.01064428022</v>
      </c>
      <c r="AA135" s="16">
        <f t="shared" si="281"/>
        <v>-0.006748383752</v>
      </c>
      <c r="AB135" s="16"/>
      <c r="AC135" s="16">
        <f t="shared" ref="AC135:AD135" si="282">IFERROR((C135/B135)-1, "")</f>
        <v>-0.6650090104</v>
      </c>
      <c r="AD135" s="16">
        <f t="shared" si="282"/>
        <v>-1.945284002</v>
      </c>
      <c r="AE135" s="16">
        <f t="shared" si="270"/>
        <v>0.03660152847</v>
      </c>
      <c r="AF135" s="16">
        <f t="shared" si="271"/>
        <v>-2.875433408</v>
      </c>
      <c r="AG135" s="16">
        <f t="shared" si="272"/>
        <v>-1.666900626</v>
      </c>
      <c r="AH135" s="16"/>
      <c r="AI135" s="22"/>
    </row>
    <row r="136">
      <c r="A136" s="18" t="s">
        <v>138</v>
      </c>
      <c r="B136" s="27">
        <v>5698656.850801132</v>
      </c>
      <c r="C136" s="27">
        <v>6577569.982845465</v>
      </c>
      <c r="D136" s="27">
        <v>5732262.76920776</v>
      </c>
      <c r="E136" s="26">
        <v>1477212.48613565</v>
      </c>
      <c r="F136" s="26">
        <v>1435388.02678354</v>
      </c>
      <c r="G136" s="26">
        <v>1405590.25634878</v>
      </c>
      <c r="H136" s="26">
        <v>1179974.2244222</v>
      </c>
      <c r="I136" s="27">
        <v>5498164.993690169</v>
      </c>
      <c r="J136" s="26">
        <v>1253322.33142752</v>
      </c>
      <c r="K136" s="26">
        <v>1743050.0427918115</v>
      </c>
      <c r="L136" s="26">
        <v>1666857.347756464</v>
      </c>
      <c r="M136" s="26">
        <v>1573301.464</v>
      </c>
      <c r="N136" s="27">
        <v>6236531.185975796</v>
      </c>
      <c r="O136" s="26">
        <v>1523118.508</v>
      </c>
      <c r="P136" s="26">
        <v>1801570.308</v>
      </c>
      <c r="Q136" s="26">
        <v>1691497.58</v>
      </c>
      <c r="R136" s="26">
        <v>1854662.15043</v>
      </c>
      <c r="S136" s="27">
        <v>6870848.546429999</v>
      </c>
      <c r="T136" s="26">
        <v>2022299.698944</v>
      </c>
      <c r="U136" s="1"/>
      <c r="V136" s="16">
        <f t="shared" ref="V136:X136" si="283">IFERROR(B136/B$4, "")</f>
        <v>0.6109590996</v>
      </c>
      <c r="W136" s="16">
        <f t="shared" si="283"/>
        <v>0.6393361883</v>
      </c>
      <c r="X136" s="16">
        <f t="shared" si="283"/>
        <v>0.5669511482</v>
      </c>
      <c r="Y136" s="16">
        <f t="shared" si="279"/>
        <v>0.5541806163</v>
      </c>
      <c r="Z136" s="16">
        <f t="shared" si="280"/>
        <v>0.5898690752</v>
      </c>
      <c r="AA136" s="16">
        <f t="shared" si="281"/>
        <v>0.6177962276</v>
      </c>
      <c r="AB136" s="16"/>
      <c r="AC136" s="16">
        <f t="shared" ref="AC136:AD136" si="284">IFERROR((C136/B136)-1, "")</f>
        <v>0.1542316295</v>
      </c>
      <c r="AD136" s="16">
        <f t="shared" si="284"/>
        <v>-0.1285136024</v>
      </c>
      <c r="AE136" s="16">
        <f t="shared" si="270"/>
        <v>-0.040838633</v>
      </c>
      <c r="AF136" s="16">
        <f t="shared" si="271"/>
        <v>0.1342932038</v>
      </c>
      <c r="AG136" s="16">
        <f t="shared" si="272"/>
        <v>0.1017099637</v>
      </c>
      <c r="AH136" s="16"/>
      <c r="AI136" s="22"/>
    </row>
    <row r="137">
      <c r="A137" s="1"/>
      <c r="B137" s="27"/>
      <c r="C137" s="27"/>
      <c r="D137" s="27"/>
      <c r="E137" s="26"/>
      <c r="F137" s="26"/>
      <c r="G137" s="26"/>
      <c r="H137" s="26"/>
      <c r="I137" s="27"/>
      <c r="J137" s="26"/>
      <c r="K137" s="26"/>
      <c r="L137" s="1"/>
      <c r="M137" s="1"/>
      <c r="N137" s="27"/>
      <c r="O137" s="1"/>
      <c r="P137" s="1"/>
      <c r="Q137" s="1"/>
      <c r="R137" s="1"/>
      <c r="S137" s="27"/>
      <c r="T137" s="1"/>
      <c r="U137" s="1"/>
      <c r="V137" s="16"/>
      <c r="W137" s="16"/>
      <c r="X137" s="16"/>
      <c r="Y137" s="16"/>
      <c r="Z137" s="16"/>
      <c r="AA137" s="16"/>
      <c r="AB137" s="16"/>
      <c r="AC137" s="16" t="str">
        <f t="shared" ref="AC137:AD137" si="285">IFERROR((C137/B137)-1, "")</f>
        <v/>
      </c>
      <c r="AD137" s="16" t="str">
        <f t="shared" si="285"/>
        <v/>
      </c>
      <c r="AE137" s="16" t="str">
        <f t="shared" si="270"/>
        <v/>
      </c>
      <c r="AF137" s="16" t="str">
        <f t="shared" si="271"/>
        <v/>
      </c>
      <c r="AG137" s="16" t="str">
        <f t="shared" si="272"/>
        <v/>
      </c>
      <c r="AH137" s="16"/>
      <c r="AI137" s="22"/>
    </row>
    <row r="138">
      <c r="A138" s="1" t="s">
        <v>81</v>
      </c>
      <c r="B138" s="28">
        <v>-1365135.0</v>
      </c>
      <c r="C138" s="28">
        <v>-1799242.0</v>
      </c>
      <c r="D138" s="28">
        <v>-1563553.0</v>
      </c>
      <c r="E138" s="29">
        <v>-409662.0</v>
      </c>
      <c r="F138" s="29">
        <v>-424123.0</v>
      </c>
      <c r="G138" s="29">
        <v>-312015.0</v>
      </c>
      <c r="H138" s="29">
        <v>-279860.0</v>
      </c>
      <c r="I138" s="28">
        <v>-1425660.0</v>
      </c>
      <c r="J138" s="29">
        <v>-319461.0</v>
      </c>
      <c r="K138" s="29">
        <v>-445365.0</v>
      </c>
      <c r="L138" s="29">
        <v>-473243.0</v>
      </c>
      <c r="M138" s="29">
        <v>-309232.0</v>
      </c>
      <c r="N138" s="28">
        <v>-1547301.0</v>
      </c>
      <c r="O138" s="29">
        <v>-468721.0</v>
      </c>
      <c r="P138" s="29">
        <v>-507353.0</v>
      </c>
      <c r="Q138" s="29">
        <v>-461500.0</v>
      </c>
      <c r="R138" s="29">
        <v>-921455.0</v>
      </c>
      <c r="S138" s="28">
        <v>-2359029.0</v>
      </c>
      <c r="T138" s="29">
        <v>-586882.0</v>
      </c>
      <c r="U138" s="1"/>
      <c r="V138" s="16">
        <f t="shared" ref="V138:X138" si="286">IFERROR(B138/B$4, "")</f>
        <v>-0.1463575843</v>
      </c>
      <c r="W138" s="16">
        <f t="shared" si="286"/>
        <v>-0.1748853338</v>
      </c>
      <c r="X138" s="16">
        <f t="shared" si="286"/>
        <v>-0.1546436729</v>
      </c>
      <c r="Y138" s="16">
        <f t="shared" ref="Y138:Y140" si="289">IFERROR(I138/I$4, "")</f>
        <v>-0.1436976043</v>
      </c>
      <c r="Z138" s="16">
        <f t="shared" ref="Z138:Z140" si="290">IFERROR(N138/N$4, "")</f>
        <v>-0.1463481834</v>
      </c>
      <c r="AA138" s="16">
        <f t="shared" ref="AA138:AA140" si="291">IFERROR(S138/S$4, "")</f>
        <v>-0.2121134249</v>
      </c>
      <c r="AB138" s="16"/>
      <c r="AC138" s="16">
        <f t="shared" ref="AC138:AD138" si="287">IFERROR((C138/B138)-1, "")</f>
        <v>0.3179956561</v>
      </c>
      <c r="AD138" s="16">
        <f t="shared" si="287"/>
        <v>-0.1309934962</v>
      </c>
      <c r="AE138" s="16">
        <f t="shared" si="270"/>
        <v>-0.08819208559</v>
      </c>
      <c r="AF138" s="16">
        <f t="shared" si="271"/>
        <v>0.08532258743</v>
      </c>
      <c r="AG138" s="16">
        <f t="shared" si="272"/>
        <v>0.5246089804</v>
      </c>
      <c r="AH138" s="16"/>
      <c r="AI138" s="22"/>
    </row>
    <row r="139">
      <c r="A139" s="1" t="s">
        <v>139</v>
      </c>
      <c r="B139" s="28">
        <v>-182807.85080113198</v>
      </c>
      <c r="C139" s="28">
        <v>-61238.98284546239</v>
      </c>
      <c r="D139" s="28">
        <v>57888.230792232804</v>
      </c>
      <c r="E139" s="29">
        <v>21907.5360743482</v>
      </c>
      <c r="F139" s="29">
        <v>41676.9732164585</v>
      </c>
      <c r="G139" s="29">
        <v>-19268.256348778</v>
      </c>
      <c r="H139" s="29">
        <v>15690.7755778034</v>
      </c>
      <c r="I139" s="28">
        <v>60007.02851983211</v>
      </c>
      <c r="J139" s="29">
        <v>15707.6685724826</v>
      </c>
      <c r="K139" s="29">
        <v>-53642.04279181181</v>
      </c>
      <c r="L139" s="29">
        <v>10918.6522435362</v>
      </c>
      <c r="M139" s="29">
        <v>-85523.464</v>
      </c>
      <c r="N139" s="28">
        <v>-112539.18597579302</v>
      </c>
      <c r="O139" s="29">
        <v>51725.492000000006</v>
      </c>
      <c r="P139" s="29">
        <v>32763.692</v>
      </c>
      <c r="Q139" s="29">
        <v>15916.42</v>
      </c>
      <c r="R139" s="29">
        <v>-25353.15043</v>
      </c>
      <c r="S139" s="28">
        <v>75052.45357000001</v>
      </c>
      <c r="T139" s="29">
        <v>41716.301056</v>
      </c>
      <c r="U139" s="1"/>
      <c r="V139" s="16">
        <f t="shared" ref="V139:X139" si="288">IFERROR(B139/B$4, "")</f>
        <v>-0.01959902532</v>
      </c>
      <c r="W139" s="16">
        <f t="shared" si="288"/>
        <v>-0.005952395485</v>
      </c>
      <c r="X139" s="16">
        <f t="shared" si="288"/>
        <v>0.005725452624</v>
      </c>
      <c r="Y139" s="16">
        <f t="shared" si="289"/>
        <v>0.006048332868</v>
      </c>
      <c r="Z139" s="16">
        <f t="shared" si="290"/>
        <v>-0.01064428022</v>
      </c>
      <c r="AA139" s="16">
        <f t="shared" si="291"/>
        <v>0.006748383752</v>
      </c>
      <c r="AB139" s="16"/>
      <c r="AC139" s="16">
        <f t="shared" ref="AC139:AD139" si="292">IFERROR((C139/B139)-1, "")</f>
        <v>-0.6650090104</v>
      </c>
      <c r="AD139" s="16">
        <f t="shared" si="292"/>
        <v>-1.945284002</v>
      </c>
      <c r="AE139" s="16">
        <f t="shared" si="270"/>
        <v>0.03660152847</v>
      </c>
      <c r="AF139" s="16">
        <f t="shared" si="271"/>
        <v>-2.875433408</v>
      </c>
      <c r="AG139" s="16">
        <f t="shared" si="272"/>
        <v>-1.666900626</v>
      </c>
      <c r="AH139" s="16"/>
      <c r="AI139" s="22"/>
    </row>
    <row r="140">
      <c r="A140" s="18" t="s">
        <v>140</v>
      </c>
      <c r="B140" s="27">
        <v>-1547942.850801132</v>
      </c>
      <c r="C140" s="27">
        <v>-1860480.9828454626</v>
      </c>
      <c r="D140" s="27">
        <v>-1505664.7692077672</v>
      </c>
      <c r="E140" s="26">
        <v>-387754.463925652</v>
      </c>
      <c r="F140" s="26">
        <v>-382446.026783541</v>
      </c>
      <c r="G140" s="26">
        <v>-331283.256348778</v>
      </c>
      <c r="H140" s="26">
        <v>-264169.224422197</v>
      </c>
      <c r="I140" s="27">
        <v>-1365652.971480168</v>
      </c>
      <c r="J140" s="26">
        <v>-303753.331427517</v>
      </c>
      <c r="K140" s="26">
        <v>-499007.04279181187</v>
      </c>
      <c r="L140" s="26">
        <v>-462324.3477564638</v>
      </c>
      <c r="M140" s="26">
        <v>-394755.46400000004</v>
      </c>
      <c r="N140" s="27">
        <v>-1659840.1859757928</v>
      </c>
      <c r="O140" s="26">
        <v>-416995.508</v>
      </c>
      <c r="P140" s="26">
        <v>-474589.308</v>
      </c>
      <c r="Q140" s="26">
        <v>-445583.58</v>
      </c>
      <c r="R140" s="26">
        <v>-946808.15043</v>
      </c>
      <c r="S140" s="27">
        <v>-2283976.54643</v>
      </c>
      <c r="T140" s="26">
        <v>-545165.698944</v>
      </c>
      <c r="U140" s="1"/>
      <c r="V140" s="16">
        <f t="shared" ref="V140:X140" si="293">IFERROR(B140/B$4, "")</f>
        <v>-0.1659566096</v>
      </c>
      <c r="W140" s="16">
        <f t="shared" si="293"/>
        <v>-0.1808377293</v>
      </c>
      <c r="X140" s="16">
        <f t="shared" si="293"/>
        <v>-0.1489182203</v>
      </c>
      <c r="Y140" s="16">
        <f t="shared" si="289"/>
        <v>-0.1376492714</v>
      </c>
      <c r="Z140" s="16">
        <f t="shared" si="290"/>
        <v>-0.1569924636</v>
      </c>
      <c r="AA140" s="16">
        <f t="shared" si="291"/>
        <v>-0.2053650411</v>
      </c>
      <c r="AB140" s="16"/>
      <c r="AC140" s="16">
        <f t="shared" ref="AC140:AD140" si="294">IFERROR((C140/B140)-1, "")</f>
        <v>0.2019054721</v>
      </c>
      <c r="AD140" s="16">
        <f t="shared" si="294"/>
        <v>-0.1907120884</v>
      </c>
      <c r="AE140" s="16">
        <f t="shared" si="270"/>
        <v>-0.09299002048</v>
      </c>
      <c r="AF140" s="16">
        <f t="shared" si="271"/>
        <v>0.2154187196</v>
      </c>
      <c r="AG140" s="16">
        <f t="shared" si="272"/>
        <v>0.3760219603</v>
      </c>
      <c r="AH140" s="16"/>
      <c r="AI140" s="22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</row>
  </sheetData>
  <mergeCells count="7">
    <mergeCell ref="A2:A3"/>
    <mergeCell ref="V2:AA2"/>
    <mergeCell ref="AC2:AH2"/>
    <mergeCell ref="A64:A65"/>
    <mergeCell ref="A83:A84"/>
    <mergeCell ref="A99:A100"/>
    <mergeCell ref="A128:A129"/>
  </mergeCells>
  <printOptions/>
  <pageMargins bottom="0.787401575" footer="0.0" header="0.0" left="0.511811024" right="0.511811024" top="0.787401575"/>
  <pageSetup orientation="landscape"/>
  <drawing r:id="rId1"/>
</worksheet>
</file>